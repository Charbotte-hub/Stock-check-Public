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3e07c3037de7524/Desktop/Github/Public/Stock check/"/>
    </mc:Choice>
  </mc:AlternateContent>
  <xr:revisionPtr revIDLastSave="33277" documentId="13_ncr:1_{0328B6B6-8ED5-41A0-9829-122995D829BA}" xr6:coauthVersionLast="47" xr6:coauthVersionMax="47" xr10:uidLastSave="{4C7087A4-D2CD-408A-BC67-2EA180062097}"/>
  <bookViews>
    <workbookView xWindow="-120" yWindow="-120" windowWidth="29040" windowHeight="15720" activeTab="1" xr2:uid="{00000000-000D-0000-FFFF-FFFF00000000}"/>
  </bookViews>
  <sheets>
    <sheet name="watchlist" sheetId="12" r:id="rId1"/>
    <sheet name="Watchlist check" sheetId="13" r:id="rId2"/>
    <sheet name="Sheet1" sheetId="20" r:id="rId3"/>
    <sheet name="Pypath" sheetId="19" r:id="rId4"/>
    <sheet name="News" sheetId="15" r:id="rId5"/>
    <sheet name="Insider trade" sheetId="16" r:id="rId6"/>
    <sheet name="Dropdown" sheetId="14" r:id="rId7"/>
  </sheets>
  <definedNames>
    <definedName name="_xlnm._FilterDatabase" localSheetId="5" hidden="1">'Insider trade'!$A$1:$F$1</definedName>
    <definedName name="_xlnm._FilterDatabase" localSheetId="4" hidden="1">News!$A$1:$F$1</definedName>
    <definedName name="_xlnm._FilterDatabase" localSheetId="1" hidden="1">'Watchlist check'!$A$1:$AA$8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15" l="1"/>
  <c r="F3" i="15"/>
  <c r="F4" i="15"/>
  <c r="F5" i="15"/>
  <c r="F6" i="15"/>
  <c r="F7" i="15"/>
  <c r="F8" i="15"/>
  <c r="F9" i="15"/>
  <c r="F10" i="15"/>
  <c r="F11" i="15"/>
  <c r="F12" i="15"/>
  <c r="F13" i="15"/>
  <c r="F14" i="15"/>
  <c r="F15" i="15"/>
  <c r="F16" i="15"/>
  <c r="F17" i="15"/>
  <c r="F18" i="15"/>
  <c r="F19" i="15"/>
  <c r="F20" i="15"/>
  <c r="F21" i="15"/>
  <c r="F22" i="15"/>
  <c r="F23" i="15"/>
  <c r="F24" i="15"/>
  <c r="F25" i="15"/>
  <c r="F26" i="15"/>
  <c r="F27" i="15"/>
  <c r="F28" i="15"/>
  <c r="F29" i="15"/>
  <c r="F30" i="15"/>
  <c r="F31" i="15"/>
  <c r="F32" i="15"/>
  <c r="F33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V3" i="12"/>
  <c r="V4" i="12"/>
  <c r="V5" i="12"/>
  <c r="V6" i="12"/>
  <c r="V7" i="12"/>
  <c r="V8" i="12"/>
  <c r="V9" i="12"/>
  <c r="V10" i="12"/>
  <c r="V11" i="12"/>
  <c r="V12" i="12"/>
  <c r="V13" i="12"/>
  <c r="V14" i="12"/>
  <c r="V15" i="12"/>
  <c r="V16" i="12"/>
  <c r="V17" i="12"/>
  <c r="V18" i="12"/>
  <c r="V19" i="12"/>
  <c r="V20" i="12"/>
  <c r="V21" i="12"/>
  <c r="V22" i="12"/>
  <c r="V23" i="12"/>
  <c r="V24" i="12"/>
  <c r="V25" i="12"/>
  <c r="V26" i="12"/>
  <c r="V27" i="12"/>
  <c r="V28" i="12"/>
  <c r="V29" i="12"/>
  <c r="V30" i="12"/>
  <c r="V31" i="12"/>
  <c r="V32" i="12"/>
  <c r="V33" i="12"/>
  <c r="V34" i="12"/>
  <c r="V35" i="12"/>
  <c r="V36" i="12"/>
  <c r="V37" i="12"/>
  <c r="V38" i="12"/>
  <c r="V39" i="12"/>
  <c r="V40" i="12"/>
  <c r="V41" i="12"/>
  <c r="V42" i="12"/>
  <c r="V43" i="12"/>
  <c r="V44" i="12"/>
  <c r="V45" i="12"/>
  <c r="V46" i="12"/>
  <c r="V47" i="12"/>
  <c r="V48" i="12"/>
  <c r="V49" i="12"/>
  <c r="V50" i="12"/>
  <c r="V51" i="12"/>
  <c r="V52" i="12"/>
  <c r="V53" i="12"/>
  <c r="V54" i="12"/>
  <c r="V55" i="12"/>
  <c r="V56" i="12"/>
  <c r="V57" i="12"/>
  <c r="V58" i="12"/>
  <c r="V59" i="12"/>
  <c r="V60" i="12"/>
  <c r="V61" i="12"/>
  <c r="V62" i="12"/>
  <c r="V63" i="12"/>
  <c r="V64" i="12"/>
  <c r="V65" i="12"/>
  <c r="V66" i="12"/>
  <c r="V67" i="12"/>
  <c r="V68" i="12"/>
  <c r="V69" i="12"/>
  <c r="V70" i="12"/>
  <c r="V71" i="12"/>
  <c r="V72" i="12"/>
  <c r="V73" i="12"/>
  <c r="V74" i="12"/>
  <c r="V75" i="12"/>
  <c r="V76" i="12"/>
  <c r="V77" i="12"/>
  <c r="V78" i="12"/>
  <c r="V79" i="12"/>
  <c r="V80" i="12"/>
  <c r="V81" i="12"/>
  <c r="V82" i="12"/>
  <c r="V83" i="12"/>
  <c r="V84" i="12"/>
  <c r="V85" i="12"/>
  <c r="V86" i="12"/>
  <c r="V87" i="12"/>
  <c r="V88" i="12"/>
  <c r="V89" i="12"/>
  <c r="V90" i="12"/>
  <c r="V91" i="12"/>
  <c r="V92" i="12"/>
  <c r="V93" i="12"/>
  <c r="V94" i="12"/>
  <c r="V95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108" i="12"/>
  <c r="V109" i="12"/>
  <c r="V110" i="12"/>
  <c r="V111" i="12"/>
  <c r="V112" i="12"/>
  <c r="V113" i="12"/>
  <c r="V114" i="12"/>
  <c r="V115" i="12"/>
  <c r="V116" i="12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G3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G95" i="12"/>
  <c r="G96" i="12"/>
  <c r="G97" i="12"/>
  <c r="G98" i="12"/>
  <c r="G99" i="12"/>
  <c r="G100" i="12"/>
  <c r="G101" i="12"/>
  <c r="G102" i="12"/>
  <c r="G103" i="12"/>
  <c r="G104" i="12"/>
  <c r="G105" i="12"/>
  <c r="G106" i="12"/>
  <c r="G107" i="12"/>
  <c r="G108" i="12"/>
  <c r="G109" i="12"/>
  <c r="G110" i="12"/>
  <c r="G111" i="12"/>
  <c r="G112" i="12"/>
  <c r="G113" i="12"/>
  <c r="G114" i="12"/>
  <c r="G115" i="12"/>
  <c r="G116" i="12"/>
  <c r="G117" i="12"/>
  <c r="G118" i="12"/>
  <c r="G119" i="12"/>
  <c r="G120" i="12"/>
  <c r="G121" i="12"/>
  <c r="G122" i="12"/>
  <c r="G123" i="12"/>
  <c r="G124" i="12"/>
  <c r="G125" i="12"/>
  <c r="G126" i="12"/>
  <c r="G127" i="12"/>
  <c r="G128" i="12"/>
  <c r="G129" i="12"/>
  <c r="G130" i="12"/>
  <c r="G131" i="12"/>
  <c r="G132" i="12"/>
  <c r="G133" i="12"/>
  <c r="G134" i="12"/>
  <c r="G135" i="12"/>
  <c r="G136" i="12"/>
  <c r="G137" i="12"/>
  <c r="G138" i="12"/>
  <c r="G139" i="12"/>
  <c r="G140" i="12"/>
  <c r="G141" i="12"/>
  <c r="G142" i="12"/>
  <c r="G143" i="12"/>
  <c r="G144" i="12"/>
  <c r="G145" i="12"/>
  <c r="G146" i="12"/>
  <c r="G147" i="12"/>
  <c r="G148" i="12"/>
  <c r="G149" i="12"/>
  <c r="G150" i="12"/>
  <c r="G151" i="12"/>
  <c r="G152" i="12"/>
  <c r="G153" i="12"/>
  <c r="G154" i="12"/>
  <c r="G155" i="12"/>
  <c r="G156" i="12"/>
  <c r="G157" i="12"/>
  <c r="G158" i="12"/>
  <c r="G159" i="12"/>
  <c r="G160" i="12"/>
  <c r="G161" i="12"/>
  <c r="G162" i="12"/>
  <c r="G163" i="12"/>
  <c r="G164" i="12"/>
  <c r="G165" i="12"/>
  <c r="G166" i="12"/>
  <c r="G167" i="12"/>
  <c r="G168" i="12"/>
  <c r="G169" i="12"/>
  <c r="G170" i="12"/>
  <c r="G171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D157" i="12"/>
  <c r="D158" i="12"/>
  <c r="D159" i="12"/>
  <c r="D160" i="12"/>
  <c r="D161" i="12"/>
  <c r="D162" i="12"/>
  <c r="D163" i="12"/>
  <c r="D164" i="12"/>
  <c r="D165" i="12"/>
  <c r="D166" i="12"/>
  <c r="D167" i="12"/>
  <c r="D168" i="12"/>
  <c r="D169" i="12"/>
  <c r="D170" i="12"/>
  <c r="D171" i="12"/>
  <c r="T3" i="12"/>
  <c r="T4" i="12"/>
  <c r="T5" i="12"/>
  <c r="T6" i="12"/>
  <c r="T7" i="12"/>
  <c r="T8" i="12"/>
  <c r="T9" i="12"/>
  <c r="T10" i="12"/>
  <c r="T11" i="12"/>
  <c r="T12" i="12"/>
  <c r="T13" i="12"/>
  <c r="T14" i="12"/>
  <c r="T15" i="12"/>
  <c r="T16" i="12"/>
  <c r="T17" i="12"/>
  <c r="T18" i="12"/>
  <c r="T19" i="12"/>
  <c r="T20" i="12"/>
  <c r="T21" i="12"/>
  <c r="T22" i="12"/>
  <c r="T23" i="12"/>
  <c r="T24" i="12"/>
  <c r="T25" i="12"/>
  <c r="T26" i="12"/>
  <c r="T27" i="12"/>
  <c r="T28" i="12"/>
  <c r="T29" i="12"/>
  <c r="T30" i="12"/>
  <c r="T31" i="12"/>
  <c r="T32" i="12"/>
  <c r="T33" i="12"/>
  <c r="T34" i="12"/>
  <c r="T35" i="12"/>
  <c r="T36" i="12"/>
  <c r="T37" i="12"/>
  <c r="T38" i="12"/>
  <c r="T39" i="12"/>
  <c r="T40" i="12"/>
  <c r="T41" i="12"/>
  <c r="T42" i="12"/>
  <c r="T43" i="12"/>
  <c r="T44" i="12"/>
  <c r="T45" i="12"/>
  <c r="T46" i="12"/>
  <c r="T47" i="12"/>
  <c r="T48" i="12"/>
  <c r="T49" i="12"/>
  <c r="T50" i="12"/>
  <c r="T51" i="12"/>
  <c r="T52" i="12"/>
  <c r="T53" i="12"/>
  <c r="T54" i="12"/>
  <c r="T55" i="12"/>
  <c r="T56" i="12"/>
  <c r="T57" i="12"/>
  <c r="T58" i="12"/>
  <c r="T59" i="12"/>
  <c r="T60" i="12"/>
  <c r="T61" i="12"/>
  <c r="T62" i="12"/>
  <c r="T63" i="12"/>
  <c r="T64" i="12"/>
  <c r="T65" i="12"/>
  <c r="T66" i="12"/>
  <c r="T67" i="12"/>
  <c r="T68" i="12"/>
  <c r="T69" i="12"/>
  <c r="T70" i="12"/>
  <c r="T71" i="12"/>
  <c r="T72" i="12"/>
  <c r="T73" i="12"/>
  <c r="T74" i="12"/>
  <c r="T75" i="12"/>
  <c r="T76" i="12"/>
  <c r="T77" i="12"/>
  <c r="T78" i="12"/>
  <c r="T79" i="12"/>
  <c r="T80" i="12"/>
  <c r="T81" i="12"/>
  <c r="T82" i="12"/>
  <c r="T83" i="12"/>
  <c r="T84" i="12"/>
  <c r="T85" i="12"/>
  <c r="T86" i="12"/>
  <c r="T87" i="12"/>
  <c r="T88" i="12"/>
  <c r="T89" i="12"/>
  <c r="T90" i="12"/>
  <c r="T91" i="12"/>
  <c r="T92" i="12"/>
  <c r="T93" i="12"/>
  <c r="T94" i="12"/>
  <c r="T95" i="12"/>
  <c r="T96" i="12"/>
  <c r="T97" i="12"/>
  <c r="T98" i="12"/>
  <c r="T99" i="12"/>
  <c r="T100" i="12"/>
  <c r="T101" i="12"/>
  <c r="T102" i="12"/>
  <c r="T103" i="12"/>
  <c r="T104" i="12"/>
  <c r="T105" i="12"/>
  <c r="T106" i="12"/>
  <c r="T107" i="12"/>
  <c r="T108" i="12"/>
  <c r="T109" i="12"/>
  <c r="T110" i="12"/>
  <c r="T111" i="12"/>
  <c r="T112" i="12"/>
  <c r="T113" i="12"/>
  <c r="T114" i="12"/>
  <c r="T115" i="12"/>
  <c r="T116" i="12"/>
  <c r="T117" i="12"/>
  <c r="T118" i="12"/>
  <c r="T119" i="12"/>
  <c r="T120" i="12"/>
  <c r="T121" i="12"/>
  <c r="T122" i="12"/>
  <c r="T123" i="12"/>
  <c r="T124" i="12"/>
  <c r="T125" i="12"/>
  <c r="T126" i="12"/>
  <c r="T127" i="12"/>
  <c r="T128" i="12"/>
  <c r="T129" i="12"/>
  <c r="T130" i="12"/>
  <c r="T131" i="12"/>
  <c r="T132" i="12"/>
  <c r="T133" i="12"/>
  <c r="T134" i="12"/>
  <c r="T135" i="12"/>
  <c r="T136" i="12"/>
  <c r="T137" i="12"/>
  <c r="T138" i="12"/>
  <c r="T139" i="12"/>
  <c r="T140" i="12"/>
  <c r="T141" i="12"/>
  <c r="T142" i="12"/>
  <c r="T143" i="12"/>
  <c r="T144" i="12"/>
  <c r="T145" i="12"/>
  <c r="T146" i="12"/>
  <c r="T147" i="12"/>
  <c r="T148" i="12"/>
  <c r="T149" i="12"/>
  <c r="T150" i="12"/>
  <c r="T151" i="12"/>
  <c r="T152" i="12"/>
  <c r="T153" i="12"/>
  <c r="T154" i="12"/>
  <c r="T155" i="12"/>
  <c r="T156" i="12"/>
  <c r="T157" i="12"/>
  <c r="T158" i="12"/>
  <c r="T159" i="12"/>
  <c r="T160" i="12"/>
  <c r="T161" i="12"/>
  <c r="T162" i="12"/>
  <c r="T163" i="12"/>
  <c r="T164" i="12"/>
  <c r="T165" i="12"/>
  <c r="T166" i="12"/>
  <c r="T167" i="12"/>
  <c r="T168" i="12"/>
  <c r="T169" i="12"/>
  <c r="T170" i="12"/>
  <c r="T171" i="12"/>
  <c r="K4" i="12"/>
  <c r="K5" i="12"/>
  <c r="K6" i="12"/>
  <c r="K7" i="12"/>
  <c r="K8" i="12"/>
  <c r="K9" i="12"/>
  <c r="K10" i="12"/>
  <c r="K11" i="12"/>
  <c r="K12" i="12"/>
  <c r="K13" i="12"/>
  <c r="K14" i="12"/>
  <c r="K15" i="12"/>
  <c r="K16" i="12"/>
  <c r="K17" i="12"/>
  <c r="K18" i="12"/>
  <c r="K19" i="12"/>
  <c r="K20" i="12"/>
  <c r="K21" i="12"/>
  <c r="K22" i="12"/>
  <c r="K23" i="12"/>
  <c r="K24" i="12"/>
  <c r="K25" i="12"/>
  <c r="K26" i="12"/>
  <c r="K27" i="12"/>
  <c r="K28" i="12"/>
  <c r="K29" i="12"/>
  <c r="K30" i="12"/>
  <c r="K31" i="12"/>
  <c r="K32" i="12"/>
  <c r="K33" i="12"/>
  <c r="K34" i="12"/>
  <c r="K35" i="12"/>
  <c r="K36" i="12"/>
  <c r="K37" i="12"/>
  <c r="K38" i="12"/>
  <c r="K39" i="12"/>
  <c r="K40" i="12"/>
  <c r="K41" i="12"/>
  <c r="K42" i="12"/>
  <c r="K43" i="12"/>
  <c r="K44" i="12"/>
  <c r="K45" i="12"/>
  <c r="K46" i="12"/>
  <c r="K47" i="12"/>
  <c r="K48" i="12"/>
  <c r="K49" i="12"/>
  <c r="K50" i="12"/>
  <c r="K51" i="12"/>
  <c r="K52" i="12"/>
  <c r="K53" i="12"/>
  <c r="K54" i="12"/>
  <c r="K55" i="12"/>
  <c r="K56" i="12"/>
  <c r="K57" i="12"/>
  <c r="K58" i="12"/>
  <c r="K59" i="12"/>
  <c r="K60" i="12"/>
  <c r="K61" i="12"/>
  <c r="K62" i="12"/>
  <c r="K63" i="12"/>
  <c r="K64" i="12"/>
  <c r="K65" i="12"/>
  <c r="K66" i="12"/>
  <c r="K67" i="12"/>
  <c r="K68" i="12"/>
  <c r="K69" i="12"/>
  <c r="K70" i="12"/>
  <c r="K71" i="12"/>
  <c r="K72" i="12"/>
  <c r="K73" i="12"/>
  <c r="K74" i="12"/>
  <c r="K75" i="12"/>
  <c r="K76" i="12"/>
  <c r="K77" i="12"/>
  <c r="K78" i="12"/>
  <c r="K79" i="12"/>
  <c r="K80" i="12"/>
  <c r="K81" i="12"/>
  <c r="K82" i="12"/>
  <c r="K83" i="12"/>
  <c r="K84" i="12"/>
  <c r="K85" i="12"/>
  <c r="K86" i="12"/>
  <c r="K87" i="12"/>
  <c r="K88" i="12"/>
  <c r="K89" i="12"/>
  <c r="K90" i="12"/>
  <c r="K91" i="12"/>
  <c r="K92" i="12"/>
  <c r="K93" i="12"/>
  <c r="K94" i="12"/>
  <c r="K95" i="12"/>
  <c r="K96" i="12"/>
  <c r="K97" i="12"/>
  <c r="K98" i="12"/>
  <c r="K99" i="12"/>
  <c r="K100" i="12"/>
  <c r="K101" i="12"/>
  <c r="K102" i="12"/>
  <c r="K103" i="12"/>
  <c r="K104" i="12"/>
  <c r="K105" i="12"/>
  <c r="K106" i="12"/>
  <c r="K107" i="12"/>
  <c r="K108" i="12"/>
  <c r="K109" i="12"/>
  <c r="K110" i="12"/>
  <c r="K111" i="12"/>
  <c r="K112" i="12"/>
  <c r="K113" i="12"/>
  <c r="K114" i="12"/>
  <c r="K115" i="12"/>
  <c r="K116" i="12"/>
  <c r="K117" i="12"/>
  <c r="K118" i="12"/>
  <c r="K119" i="12"/>
  <c r="K120" i="12"/>
  <c r="K121" i="12"/>
  <c r="K122" i="12"/>
  <c r="K123" i="12"/>
  <c r="K124" i="12"/>
  <c r="K125" i="12"/>
  <c r="K126" i="12"/>
  <c r="K127" i="12"/>
  <c r="K128" i="12"/>
  <c r="K129" i="12"/>
  <c r="K130" i="12"/>
  <c r="K131" i="12"/>
  <c r="K132" i="12"/>
  <c r="K133" i="12"/>
  <c r="K134" i="12"/>
  <c r="K135" i="12"/>
  <c r="K136" i="12"/>
  <c r="K137" i="12"/>
  <c r="K138" i="12"/>
  <c r="K139" i="12"/>
  <c r="K140" i="12"/>
  <c r="K141" i="12"/>
  <c r="K142" i="12"/>
  <c r="K143" i="12"/>
  <c r="K144" i="12"/>
  <c r="K145" i="12"/>
  <c r="K146" i="12"/>
  <c r="K147" i="12"/>
  <c r="K148" i="12"/>
  <c r="K149" i="12"/>
  <c r="K150" i="12"/>
  <c r="K151" i="12"/>
  <c r="K152" i="12"/>
  <c r="K153" i="12"/>
  <c r="K154" i="12"/>
  <c r="K155" i="12"/>
  <c r="K156" i="12"/>
  <c r="K157" i="12"/>
  <c r="K158" i="12"/>
  <c r="K159" i="12"/>
  <c r="K160" i="12"/>
  <c r="K161" i="12"/>
  <c r="K162" i="12"/>
  <c r="K163" i="12"/>
  <c r="K164" i="12"/>
  <c r="K165" i="12"/>
  <c r="K166" i="12"/>
  <c r="K167" i="12"/>
  <c r="K168" i="12"/>
  <c r="K169" i="12"/>
  <c r="K170" i="12"/>
  <c r="K171" i="12"/>
  <c r="K3" i="12"/>
</calcChain>
</file>

<file path=xl/sharedStrings.xml><?xml version="1.0" encoding="utf-8"?>
<sst xmlns="http://schemas.openxmlformats.org/spreadsheetml/2006/main" count="8175" uniqueCount="215">
  <si>
    <t>Name</t>
  </si>
  <si>
    <t>Price</t>
  </si>
  <si>
    <t>Note</t>
  </si>
  <si>
    <t>GOOGL</t>
  </si>
  <si>
    <t xml:space="preserve">Ticker </t>
  </si>
  <si>
    <t>Grade</t>
  </si>
  <si>
    <t>Grade history</t>
  </si>
  <si>
    <t>Action</t>
  </si>
  <si>
    <t>A</t>
  </si>
  <si>
    <t>B</t>
  </si>
  <si>
    <t>C</t>
  </si>
  <si>
    <t xml:space="preserve">Keep </t>
  </si>
  <si>
    <t>Delete</t>
  </si>
  <si>
    <t>Add</t>
  </si>
  <si>
    <t>Alphabet Inc.</t>
  </si>
  <si>
    <t>Price (temp)</t>
  </si>
  <si>
    <t>Price history</t>
  </si>
  <si>
    <t>Current Trend: Range-y but stable. Less hot than META but safer
52W Range: ~$100 → $174
Earnings/AI news often cause random pops
🔍 Smart Entry Zones:
Setup	Price Range	Why
💰 Base Add Zone	$160–$165	Clean support, RSI tends to bounce from here
🧠 Breakout Add	Above $175–$180	Only if you're riding momentum toward $200 club
😌 Dream Entry	$145–$150	Last strong swing low support. May not hit unless tech tanks a bit
📌 Ideal for Swing: $160–$164
📌 Ideal for Long-Term Add: Anything under $160 = 🧠💰</t>
  </si>
  <si>
    <t>Swing material?</t>
  </si>
  <si>
    <t>Analysis History</t>
  </si>
  <si>
    <t>Analysis (Temp)</t>
  </si>
  <si>
    <t>Hot leads?</t>
  </si>
  <si>
    <t>M</t>
  </si>
  <si>
    <t>Note History</t>
  </si>
  <si>
    <t>Note (temp)</t>
  </si>
  <si>
    <t>Watch-for-fun material?</t>
  </si>
  <si>
    <t>Included in watchlist check?</t>
  </si>
  <si>
    <t>Grade (temp)</t>
  </si>
  <si>
    <t>Keep / Hold or Monitor Closely</t>
  </si>
  <si>
    <t>Monitor / Potential but Needs Proof</t>
  </si>
  <si>
    <t>Cut / Say Goodbye with a Dip in Fondue</t>
  </si>
  <si>
    <t>Ticker</t>
  </si>
  <si>
    <t>Analysis</t>
  </si>
  <si>
    <t>Last check:</t>
  </si>
  <si>
    <t>Target Price</t>
  </si>
  <si>
    <t>Shares</t>
  </si>
  <si>
    <t>Date</t>
  </si>
  <si>
    <t>Headline</t>
  </si>
  <si>
    <t>Link</t>
  </si>
  <si>
    <t>Current Price</t>
  </si>
  <si>
    <t>Price at open</t>
  </si>
  <si>
    <t>% Change</t>
  </si>
  <si>
    <t>52W High</t>
  </si>
  <si>
    <t>52W Low</t>
  </si>
  <si>
    <t>Vol today</t>
  </si>
  <si>
    <t>Vol Avg (30)</t>
  </si>
  <si>
    <t>RSI</t>
  </si>
  <si>
    <t>SMA50</t>
  </si>
  <si>
    <t>SMA200</t>
  </si>
  <si>
    <t>SMA crossover</t>
  </si>
  <si>
    <t>EMA9</t>
  </si>
  <si>
    <t>EMA21</t>
  </si>
  <si>
    <t>EMA crossover</t>
  </si>
  <si>
    <t>P/E</t>
  </si>
  <si>
    <t>P/S</t>
  </si>
  <si>
    <t>Market Cap</t>
  </si>
  <si>
    <t>Revenue</t>
  </si>
  <si>
    <t>ROA</t>
  </si>
  <si>
    <t xml:space="preserve">2025-03-28: A. Mar-25-2025: A. </t>
  </si>
  <si>
    <t xml:space="preserve">2025-03-28: 170.56. </t>
  </si>
  <si>
    <t>Mar-28-2025: 2025-03-25: Solid long-term hold and decent for swings on pullbacks
Healthy chart, AI exposure, big money support
💡 Use as a “stability anchor” in your watchlist. 2025-03-25: Solid long-term hold and decent for swings on pullbacks
Healthy chart, AI exposure, big money support
💡 Use as a “stability anchor” in your watchlist</t>
  </si>
  <si>
    <t>Rev (YoY)</t>
  </si>
  <si>
    <t>Gross Margin</t>
  </si>
  <si>
    <t>Profit Margin</t>
  </si>
  <si>
    <t>Debt-to-Eq</t>
  </si>
  <si>
    <t>EPS Growth</t>
  </si>
  <si>
    <t>Defensive material?</t>
  </si>
  <si>
    <t>Sugar daddy material?</t>
  </si>
  <si>
    <t>ROE</t>
  </si>
  <si>
    <t>Source</t>
  </si>
  <si>
    <t>API</t>
  </si>
  <si>
    <t>*currently no free Canadian API</t>
  </si>
  <si>
    <t>Transaction Type</t>
  </si>
  <si>
    <t>F</t>
  </si>
  <si>
    <t>G</t>
  </si>
  <si>
    <t>P</t>
  </si>
  <si>
    <t>Sec Filing code</t>
  </si>
  <si>
    <t xml:space="preserve"> Code  </t>
  </si>
  <si>
    <t xml:space="preserve"> Meaning                            </t>
  </si>
  <si>
    <t xml:space="preserve"> Sentiment            </t>
  </si>
  <si>
    <t xml:space="preserve"> ----- </t>
  </si>
  <si>
    <t xml:space="preserve"> ---------------------------------- </t>
  </si>
  <si>
    <t xml:space="preserve"> -------------------- </t>
  </si>
  <si>
    <t xml:space="preserve"> Purchase (open market)             </t>
  </si>
  <si>
    <t xml:space="preserve"> Sale (open market)                 </t>
  </si>
  <si>
    <t xml:space="preserve"> Grant, award, or other acquisition </t>
  </si>
  <si>
    <t xml:space="preserve"> Conversion of derivative security  </t>
  </si>
  <si>
    <t xml:space="preserve"> ⚪ Neutral/conversion </t>
  </si>
  <si>
    <t xml:space="preserve"> Payment of exercise price or taxes </t>
  </si>
  <si>
    <t xml:space="preserve"> ⚪ Often neutral      </t>
  </si>
  <si>
    <t xml:space="preserve"> Gift                               </t>
  </si>
  <si>
    <t xml:space="preserve"> 🟡 Neutral/gift      </t>
  </si>
  <si>
    <t xml:space="preserve"> Exercise of derivative             </t>
  </si>
  <si>
    <t xml:space="preserve"> ⚪ Mixed — depends    </t>
  </si>
  <si>
    <t xml:space="preserve">S </t>
  </si>
  <si>
    <t xml:space="preserve"> 🟢 Bullish </t>
  </si>
  <si>
    <t xml:space="preserve"> 🔴 Bearish</t>
  </si>
  <si>
    <t xml:space="preserve"> 🟡 Neutral/gift</t>
  </si>
  <si>
    <t>META</t>
  </si>
  <si>
    <t>BNS.TO</t>
  </si>
  <si>
    <t>C:\Users\buith\OneDrive\Desktop\Github\Public\Stock check\Stock check - Public.py</t>
  </si>
  <si>
    <t>Did Apple Just Give Nvidia Investors 1 Billion Reasons to Celebrate?</t>
  </si>
  <si>
    <t>Yahoo</t>
  </si>
  <si>
    <t>finnhub</t>
  </si>
  <si>
    <t>Apple: Losing Its Walled Garden</t>
  </si>
  <si>
    <t>SeekingAlpha</t>
  </si>
  <si>
    <t>Alphabet Inc. (GOOGL)’s AI Powers Lockheed Martin’s National Security Innovations</t>
  </si>
  <si>
    <t>Hartford Climate Opportunities Fund Q4 2024 Commentary</t>
  </si>
  <si>
    <t>Cyclical headwinds' are developing for the tech trade</t>
  </si>
  <si>
    <t>Billionaire Bill Ackman Only Holds 1 Artificial Intelligence (AI) Stock, and It's Trading for an Absolute Bargain Right Now. Time to Buy?</t>
  </si>
  <si>
    <t>Is Alphabet Inc. (GOOGL) Best Stock to Buy for the Next 3 Months?</t>
  </si>
  <si>
    <t>Is a New AI Model the Catalyst Alphabet Stock Needed?</t>
  </si>
  <si>
    <t>1 Surprising Stock to Buy Before the Autonomous Vehicle Revolution Takes Off</t>
  </si>
  <si>
    <t>Putnam Large Cap Growth Fund Q4 2024 Commentary</t>
  </si>
  <si>
    <t>Down 57% From All-Time Highs, Is This Quantum Computing Stock the Bargain of the Decade?</t>
  </si>
  <si>
    <t>4 Top Tech Stocks to Buy Right Now</t>
  </si>
  <si>
    <t>Tesla Stock Dropped 50% From Its High. History Says This Will Happen Next.</t>
  </si>
  <si>
    <t>Paychecks, Not Panic - 3 Dividend Stocks Too Good To Ignore</t>
  </si>
  <si>
    <t>Gannett Co., Inc.: A Deep Value Turnaround With Hidden Optionality</t>
  </si>
  <si>
    <t>Alphabet Inc. (GOOGL): Among Billionaire Ken Fisher’s Top Growth Stock Picks</t>
  </si>
  <si>
    <t>Is Alphabet Inc. (GOOGL) the Top Growth Stock in David Tepper’s Portfolio?</t>
  </si>
  <si>
    <t>Google Cloud Says Incident Impacting Multiple Google Cloud Services In Zone Us-East5-C Has Been Resolved- Status Page</t>
  </si>
  <si>
    <t>Finnhub</t>
  </si>
  <si>
    <t>2 Artificial Intelligence Stocks You Can Buy and Hold for the Next Decade</t>
  </si>
  <si>
    <t>Alphabet: Even Better Buy After The Meltdown</t>
  </si>
  <si>
    <t>Got $3,000? 2 Artificial Intelligence (AI) Stocks to Buy and Hold for the Long Term.</t>
  </si>
  <si>
    <t>Here is Why Jim Cramer Is Concerned About Alphabet Inc. (NASDAQ:GOOGL) Stock</t>
  </si>
  <si>
    <t>3 Unstoppable Stocks That Are Too Cheap to Ignore Right Now</t>
  </si>
  <si>
    <t>Alphabet: Leading The AI Race</t>
  </si>
  <si>
    <t>Rigetti Computing Has Room to Grow. Why the CEO Is Tempering Expectations for Quantum.</t>
  </si>
  <si>
    <t>MarketWatch</t>
  </si>
  <si>
    <t>Prediction: Alphabet Will Beat the Market. Here's Why.</t>
  </si>
  <si>
    <t>Alphabet: Progress In AI Cannot Be Ignored For Long</t>
  </si>
  <si>
    <t>Should You Forget Nvidia and Buy These 2 Artificial Intelligence (AI) Stocks Instead?</t>
  </si>
  <si>
    <t>5 High-Quality Dividend Growth Stocks I'm Buying Now (Plus SCHD Reconstitution)</t>
  </si>
  <si>
    <t>Amazon Deep Dive: The Only Analysis You'll Ever Need</t>
  </si>
  <si>
    <t>Is Alphabet Inc. (GOOG) The Mega Cap Stock Gaining Bullish Momentum This Week?</t>
  </si>
  <si>
    <t>Why Digital Ad Giants Alphabet, Meta Platforms, and Netflix Plunged Today</t>
  </si>
  <si>
    <t>xAI Buys X in Blockbuster Deal. Elon Musk Found a Way to Win the Twitter Deal.</t>
  </si>
  <si>
    <t>Alphabet Stock Drops as $100M Settlement Ends Years-Old Ad Pricing Lawsuit</t>
  </si>
  <si>
    <t>Adobe Dips 11% YTD: Should You Buy, Sell or Hold the Stock?</t>
  </si>
  <si>
    <t>Alphabet, Wolfspeed, Nikola: Market Minute</t>
  </si>
  <si>
    <t>TBLD: Profit From The Market's Shift Towards Europe With This CEF</t>
  </si>
  <si>
    <t>Why Mag 7 is a 'boy band' that needs to 'breakup'</t>
  </si>
  <si>
    <t>Market Chatter: Google Agrees to Pay $100 Million to Settle Advertisers' Lawsuit</t>
  </si>
  <si>
    <t>Google to pay $100 million to settle advertisers' class action</t>
  </si>
  <si>
    <t>Alphabet Inc. (GOOGL) Self-Driving Unit Waymo Sets Sights on D.C. – Is This the Next Growth Driver?</t>
  </si>
  <si>
    <t>Cloud AI Today - Boosting Performance Akamai and Fermyon Team Up For Innovation</t>
  </si>
  <si>
    <t>Reddit’s 50% Plunge Fails to Entice Dip Buyers as Growth Slows</t>
  </si>
  <si>
    <t>1 Ultra-Cheap "Magnificent Seven" Stock Investors Can't Afford to Ignore</t>
  </si>
  <si>
    <t>Prediction: This Artificial Intelligence (AI) Stock Will Join Nvidia, Meta Platforms, Apple, Microsoft, Amazon, and Alphabet in the Trillion-Dollar Club By The End of The Decade</t>
  </si>
  <si>
    <t>The Smartest Dividend Growth Stock to Buy With $200 Right Now</t>
  </si>
  <si>
    <t>Tesla's Damaged Brand Has Doomed FSD And Optimus</t>
  </si>
  <si>
    <t>IONOS Group SE (WBO:IOS) Q4 2024 Earnings Call Highlights: Strong Revenue Growth and Customer ...</t>
  </si>
  <si>
    <t>Q4 2024 Netlist Inc Earnings Call</t>
  </si>
  <si>
    <t>Meta: Deep Analysis Shows LLaMA As Unassailable Social Media Moat (Rating Upgrade)</t>
  </si>
  <si>
    <t>How Meta Makes its Money [Infographic]</t>
  </si>
  <si>
    <t>Trump Slump! Here's My 1st Wish List As The Market Finally Falters.</t>
  </si>
  <si>
    <t>Is Meta Platforms, Inc. (META) Best Stock to Buy for the Next 3 Months?</t>
  </si>
  <si>
    <t>The legal problems facing a new Trump TikTok rescue — and why they may not matter</t>
  </si>
  <si>
    <t>Is Meta Platforms, Inc. (META) the Top Stock to Buy According to SRS Investment Management?</t>
  </si>
  <si>
    <t>The AI data-center boom is coming to America’s heartland</t>
  </si>
  <si>
    <t>abrdn Total Dynamic Dividend Fund Q4 2024 Commentary</t>
  </si>
  <si>
    <t>Is Meta Platforms, Inc. (META) the Top Growth Stock in David Tepper’s Portfolio?</t>
  </si>
  <si>
    <t>Meta Platforms, Inc. (META) Among Best Stocks to Buy According to Jericho Capital Asset Management</t>
  </si>
  <si>
    <t>Meta Platforms Stock: Buy, Hold, or Sell?</t>
  </si>
  <si>
    <t>Arista Networks: A Dominant AI Market Force On Sale</t>
  </si>
  <si>
    <t>Is Meta Platforms (META) The Mega Cap Stock Gaining Bullish Momentum This Week?</t>
  </si>
  <si>
    <t>Facebook’s new throwback move: a feed just for friends</t>
  </si>
  <si>
    <t>Scale AI seeking valuation as high as $25 billion in potential tender offer, Business Insider reports</t>
  </si>
  <si>
    <t>Magnificent Seven Stocks Dive As Amazon, Apple, Meta, Nvidia, Tesla Sell Off</t>
  </si>
  <si>
    <t>2 Incredible Growth Stocks I'm Buying Hand Over Fist</t>
  </si>
  <si>
    <t>Is Meta Platforms an Underrated Artificial Intelligence Stock?</t>
  </si>
  <si>
    <t>abrdn Global Dynamic Dividend Fund Q4 2024 Commentary</t>
  </si>
  <si>
    <t>Market Chatter: Apple, Meta Platforms Could be Charged Lower Fines as EU Seeks to Avoid Backlash From Trump</t>
  </si>
  <si>
    <t>Apple and Meta Platforms Could Avoid These Hefty Fines. It’s All Thanks to Trump.</t>
  </si>
  <si>
    <t>Arista: A New Growth Chapter With Technology For The AI Infrastructure Boom</t>
  </si>
  <si>
    <t>CoreWeave: Rent Is Going Up, Get Out Now</t>
  </si>
  <si>
    <t>AppLovin Stock Plunged 20% After Short-Seller Report. It’s Bouncing Back.</t>
  </si>
  <si>
    <t>WALKER JOHN KENT</t>
  </si>
  <si>
    <t>S</t>
  </si>
  <si>
    <t>Ashkenazi Anat</t>
  </si>
  <si>
    <t>O'Toole Amie Thuener</t>
  </si>
  <si>
    <t>Porat Ruth</t>
  </si>
  <si>
    <t>Schindler Philipp</t>
  </si>
  <si>
    <t>Pichai Sundar</t>
  </si>
  <si>
    <t>ARNOLD FRANCES</t>
  </si>
  <si>
    <t>Ferguson Roger W. Jr.</t>
  </si>
  <si>
    <t>Washington Robin L</t>
  </si>
  <si>
    <t>Shriram Kavitark Ram</t>
  </si>
  <si>
    <t>HENNESSY JOHN L</t>
  </si>
  <si>
    <t>DOERR L JOHN</t>
  </si>
  <si>
    <t>CHAVEZ R. MARTIN</t>
  </si>
  <si>
    <t>Sergey Brin</t>
  </si>
  <si>
    <t>RAGHAVAN PRABHAKAR</t>
  </si>
  <si>
    <t>Newstead Jennifer</t>
  </si>
  <si>
    <t>Olivan Javier</t>
  </si>
  <si>
    <t>Bosworth Andrew</t>
  </si>
  <si>
    <t>Cox Christopher K</t>
  </si>
  <si>
    <t>Anderson Aaron</t>
  </si>
  <si>
    <t>LI SUSAN J</t>
  </si>
  <si>
    <t>Zuckerberg Mark</t>
  </si>
  <si>
    <t>Xu Tony</t>
  </si>
  <si>
    <t>Arnold John Douglas</t>
  </si>
  <si>
    <t>TAN HOCK E</t>
  </si>
  <si>
    <t>KIMMITT ROBERT M</t>
  </si>
  <si>
    <t>Alford Peggy</t>
  </si>
  <si>
    <t>Elkann John</t>
  </si>
  <si>
    <t>White Dana</t>
  </si>
  <si>
    <t>Songhurst Charles</t>
  </si>
  <si>
    <t>Clegg Nicholas</t>
  </si>
  <si>
    <t>After</t>
  </si>
  <si>
    <t>Before</t>
  </si>
  <si>
    <t>China's Huawei 2024 profit drops; revenue rises at fastest rate in five years</t>
  </si>
  <si>
    <t>Uber Stock: Double-Digit Return Potential Justifies A Buy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</si>
</sst>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[&gt;=1000000000]#,,,&quot;B&quot;;[&gt;=1000000]#,,&quot;M&quot;;0"/>
    <numFmt numFmtId="166" formatCode="[&gt;=1000000]#,##0.0,,\ &quot;M&quot;;[&gt;=1000]#,##0.0,\ &quot;K&quot;;0"/>
  </numFmts>
  <fonts count="6" x14ac:knownFonts="1"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/>
        <bgColor theme="6"/>
      </patternFill>
    </fill>
  </fills>
  <borders count="7">
    <border>
      <left/>
      <right/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 style="thin">
        <color theme="6"/>
      </left>
      <right/>
      <top style="thin">
        <color theme="6"/>
      </top>
      <bottom style="thin">
        <color theme="6"/>
      </bottom>
      <diagonal/>
    </border>
    <border>
      <left/>
      <right/>
      <top style="thin">
        <color theme="6"/>
      </top>
      <bottom style="thin">
        <color theme="6"/>
      </bottom>
      <diagonal/>
    </border>
    <border>
      <left/>
      <right style="thin">
        <color theme="6"/>
      </right>
      <top style="thin">
        <color theme="6"/>
      </top>
      <bottom style="thin">
        <color theme="6"/>
      </bottom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wrapText="1"/>
    </xf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0" borderId="3" xfId="0" applyBorder="1"/>
    <xf numFmtId="14" fontId="0" fillId="0" borderId="0" xfId="0" applyNumberFormat="1"/>
    <xf numFmtId="0" fontId="3" fillId="6" borderId="3" xfId="0" applyFont="1" applyFill="1" applyBorder="1"/>
    <xf numFmtId="0" fontId="3" fillId="4" borderId="1" xfId="0" applyFont="1" applyFill="1" applyBorder="1"/>
    <xf numFmtId="0" fontId="3" fillId="4" borderId="3" xfId="0" applyFont="1" applyFill="1" applyBorder="1"/>
    <xf numFmtId="0" fontId="3" fillId="5" borderId="3" xfId="0" applyFont="1" applyFill="1" applyBorder="1"/>
    <xf numFmtId="0" fontId="0" fillId="4" borderId="1" xfId="0" applyFill="1" applyBorder="1"/>
    <xf numFmtId="0" fontId="0" fillId="4" borderId="3" xfId="0" applyFill="1" applyBorder="1"/>
    <xf numFmtId="0" fontId="0" fillId="5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0" borderId="5" xfId="0" applyBorder="1"/>
    <xf numFmtId="0" fontId="0" fillId="5" borderId="5" xfId="0" applyFill="1" applyBorder="1"/>
    <xf numFmtId="164" fontId="3" fillId="5" borderId="3" xfId="1" applyNumberFormat="1" applyFont="1" applyFill="1" applyBorder="1"/>
    <xf numFmtId="164" fontId="0" fillId="5" borderId="3" xfId="1" applyNumberFormat="1" applyFont="1" applyFill="1" applyBorder="1"/>
    <xf numFmtId="164" fontId="0" fillId="5" borderId="5" xfId="1" applyNumberFormat="1" applyFont="1" applyFill="1" applyBorder="1"/>
    <xf numFmtId="164" fontId="0" fillId="0" borderId="0" xfId="1" applyNumberFormat="1" applyFont="1"/>
    <xf numFmtId="165" fontId="3" fillId="5" borderId="3" xfId="0" applyNumberFormat="1" applyFont="1" applyFill="1" applyBorder="1"/>
    <xf numFmtId="165" fontId="0" fillId="5" borderId="3" xfId="0" applyNumberFormat="1" applyFill="1" applyBorder="1"/>
    <xf numFmtId="165" fontId="0" fillId="5" borderId="5" xfId="0" applyNumberFormat="1" applyFill="1" applyBorder="1"/>
    <xf numFmtId="165" fontId="0" fillId="0" borderId="0" xfId="0" applyNumberFormat="1"/>
    <xf numFmtId="2" fontId="3" fillId="6" borderId="3" xfId="0" applyNumberFormat="1" applyFont="1" applyFill="1" applyBorder="1"/>
    <xf numFmtId="2" fontId="0" fillId="0" borderId="3" xfId="0" applyNumberFormat="1" applyBorder="1"/>
    <xf numFmtId="2" fontId="0" fillId="0" borderId="5" xfId="0" applyNumberFormat="1" applyBorder="1"/>
    <xf numFmtId="2" fontId="0" fillId="0" borderId="0" xfId="0" applyNumberFormat="1"/>
    <xf numFmtId="2" fontId="3" fillId="5" borderId="3" xfId="0" applyNumberFormat="1" applyFont="1" applyFill="1" applyBorder="1"/>
    <xf numFmtId="2" fontId="0" fillId="5" borderId="3" xfId="0" applyNumberFormat="1" applyFill="1" applyBorder="1"/>
    <xf numFmtId="2" fontId="0" fillId="5" borderId="5" xfId="0" applyNumberFormat="1" applyFill="1" applyBorder="1"/>
    <xf numFmtId="166" fontId="3" fillId="6" borderId="3" xfId="0" applyNumberFormat="1" applyFont="1" applyFill="1" applyBorder="1"/>
    <xf numFmtId="166" fontId="0" fillId="0" borderId="3" xfId="0" applyNumberFormat="1" applyBorder="1"/>
    <xf numFmtId="166" fontId="0" fillId="0" borderId="5" xfId="0" applyNumberFormat="1" applyBorder="1"/>
    <xf numFmtId="166" fontId="0" fillId="0" borderId="0" xfId="0" applyNumberFormat="1"/>
    <xf numFmtId="22" fontId="0" fillId="0" borderId="0" xfId="0" applyNumberFormat="1"/>
    <xf numFmtId="0" fontId="0" fillId="0" borderId="0" xfId="0" quotePrefix="1"/>
    <xf numFmtId="22" fontId="0" fillId="0" borderId="0" xfId="0" quotePrefix="1" applyNumberFormat="1"/>
    <xf numFmtId="0" fontId="5" fillId="0" borderId="0" xfId="2"/>
    <xf numFmtId="0" fontId="3" fillId="6" borderId="1" xfId="0" applyFont="1" applyFill="1" applyBorder="1"/>
    <xf numFmtId="0" fontId="0" fillId="0" borderId="4" xfId="0" applyBorder="1"/>
    <xf numFmtId="14" fontId="0" fillId="0" borderId="5" xfId="0" applyNumberFormat="1" applyBorder="1"/>
    <xf numFmtId="0" fontId="1" fillId="0" borderId="0" xfId="0" applyFont="1" applyAlignment="1">
      <alignment wrapText="1"/>
    </xf>
    <xf numFmtId="0" fontId="3" fillId="6" borderId="2" xfId="0" applyFont="1" applyFill="1" applyBorder="1"/>
    <xf numFmtId="22" fontId="0" fillId="0" borderId="4" xfId="0" applyNumberFormat="1" applyBorder="1"/>
    <xf numFmtId="22" fontId="0" fillId="0" borderId="5" xfId="0" applyNumberFormat="1" applyBorder="1"/>
    <xf numFmtId="0" fontId="5" fillId="0" borderId="6" xfId="2" applyBorder="1"/>
  </cellXfs>
  <cellStyles count="3">
    <cellStyle name="Hyperlink" xfId="2" builtinId="8"/>
    <cellStyle name="Normal" xfId="0" builtinId="0"/>
    <cellStyle name="Percent" xfId="1" builtinId="5"/>
  </cellStyles>
  <dxfs count="16"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  <fill>
        <patternFill>
          <fgColor indexed="64"/>
          <bgColor theme="7" tint="0.59999389629810485"/>
        </patternFill>
      </fill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6" tint="0.59999389629810485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59999389629810485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alignment horizontal="general" vertical="bottom" textRotation="0" wrapText="1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142875</xdr:colOff>
          <xdr:row>0</xdr:row>
          <xdr:rowOff>95250</xdr:rowOff>
        </xdr:from>
        <xdr:to>
          <xdr:col>5</xdr:col>
          <xdr:colOff>47625</xdr:colOff>
          <xdr:row>0</xdr:row>
          <xdr:rowOff>333375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End of Session</a:t>
              </a:r>
            </a:p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9</xdr:col>
      <xdr:colOff>771525</xdr:colOff>
      <xdr:row>0</xdr:row>
      <xdr:rowOff>47625</xdr:rowOff>
    </xdr:from>
    <xdr:to>
      <xdr:col>9</xdr:col>
      <xdr:colOff>1495425</xdr:colOff>
      <xdr:row>1</xdr:row>
      <xdr:rowOff>371475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D4AD1BC-8F60-4474-9F81-061ADC718B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76750" y="47625"/>
          <a:ext cx="723900" cy="7239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27</xdr:col>
      <xdr:colOff>561975</xdr:colOff>
      <xdr:row>10</xdr:row>
      <xdr:rowOff>38100</xdr:rowOff>
    </xdr:from>
    <xdr:to>
      <xdr:col>30</xdr:col>
      <xdr:colOff>142875</xdr:colOff>
      <xdr:row>17</xdr:row>
      <xdr:rowOff>114300</xdr:rowOff>
    </xdr:to>
    <xdr:pic macro="[0]!RunPython_PublicOnly">
      <xdr:nvPicPr>
        <xdr:cNvPr id="3" name="Picture 2">
          <a:extLst>
            <a:ext uri="{FF2B5EF4-FFF2-40B4-BE49-F238E27FC236}">
              <a16:creationId xmlns:a16="http://schemas.microsoft.com/office/drawing/2014/main" id="{A2A74199-EEBC-769F-B2F4-B84E3E1F8C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88100" y="1943100"/>
          <a:ext cx="1409700" cy="1409700"/>
        </a:xfrm>
        <a:prstGeom prst="rect">
          <a:avLst/>
        </a:prstGeom>
      </xdr:spPr>
    </xdr:pic>
    <xdr:clientData/>
  </xdr:twoCellAnchor>
  <xdr:twoCellAnchor editAs="oneCell">
    <xdr:from>
      <xdr:col>27</xdr:col>
      <xdr:colOff>371474</xdr:colOff>
      <xdr:row>0</xdr:row>
      <xdr:rowOff>0</xdr:rowOff>
    </xdr:from>
    <xdr:to>
      <xdr:col>30</xdr:col>
      <xdr:colOff>180974</xdr:colOff>
      <xdr:row>8</xdr:row>
      <xdr:rowOff>114300</xdr:rowOff>
    </xdr:to>
    <xdr:pic macro="[0]!SetPythonPathToPypathSheet">
      <xdr:nvPicPr>
        <xdr:cNvPr id="5" name="Picture 4">
          <a:extLst>
            <a:ext uri="{FF2B5EF4-FFF2-40B4-BE49-F238E27FC236}">
              <a16:creationId xmlns:a16="http://schemas.microsoft.com/office/drawing/2014/main" id="{A0598573-C51D-CCF0-4A98-8B8C4C7F2A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97599" y="0"/>
          <a:ext cx="1638300" cy="1638300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71ABF73-2C53-4441-A30D-2D25DE9958AE}" name="Watchlist" displayName="Watchlist" ref="A2:V171" totalsRowShown="0" headerRowDxfId="15">
  <autoFilter ref="A2:V171" xr:uid="{F71ABF73-2C53-4441-A30D-2D25DE9958AE}"/>
  <tableColumns count="22">
    <tableColumn id="1" xr3:uid="{FCA72EE1-1E56-4C6E-B800-B4AF6AFAD05C}" name="Ticker "/>
    <tableColumn id="2" xr3:uid="{E1B5030B-81A9-4F2F-A3CA-C470FBDA9E02}" name="Name"/>
    <tableColumn id="3" xr3:uid="{54AEF332-BC35-41C3-8D74-615A18C53A32}" name="Grade"/>
    <tableColumn id="4" xr3:uid="{7B6932A3-B74C-4648-A137-8A06374DB949}" name="Grade (temp)" dataDxfId="14">
      <calculatedColumnFormula>IF(Watchlist[[#This Row],[Grade]]="",Watchlist[[#This Row],[Grade history]],CONCATENATE(TEXT(TODAY(),"yyyy-mm-dd"),": ",Watchlist[[#This Row],[Grade]],". ",,Watchlist[[#This Row],[Grade history]]))</calculatedColumnFormula>
    </tableColumn>
    <tableColumn id="5" xr3:uid="{FFA31740-DF6F-4880-A313-CACB8B85DAE3}" name="Grade history" dataDxfId="13"/>
    <tableColumn id="9" xr3:uid="{2136EA35-735B-49D3-B7DD-C83D4A3A0269}" name="Price"/>
    <tableColumn id="10" xr3:uid="{1D7E969D-EAD8-4CCD-B3CB-F668A397B9EE}" name="Price (temp)" dataDxfId="12">
      <calculatedColumnFormula>IF(Watchlist[[#This Row],[Price]]="",Watchlist[[#This Row],[Price history]],CONCATENATE(TEXT(TODAY(),"yyyy-mm-dd"),": ",Watchlist[[#This Row],[Price]],". ",,Watchlist[[#This Row],[Price history]]))</calculatedColumnFormula>
    </tableColumn>
    <tableColumn id="11" xr3:uid="{7CFBD3F3-4FC0-4FC8-9452-41F09A371FD8}" name="Price history" dataDxfId="11"/>
    <tableColumn id="6" xr3:uid="{D0EEF0FD-1E28-4286-AC69-5EC842BE13BE}" name="Action"/>
    <tableColumn id="7" xr3:uid="{6C0E0BDC-8423-46A3-A61A-3F16430EB96D}" name="Analysis"/>
    <tableColumn id="15" xr3:uid="{5A9B7316-33E7-4A62-B665-7FB2DAD3C5D9}" name="Analysis (Temp)" dataDxfId="10">
      <calculatedColumnFormula>IF(Watchlist[[#This Row],[Analysis]]="",Watchlist[[#This Row],[Analysis History]],CONCATENATE(TEXT(TODAY(),"mmm-dd-yyyy"),": ",Watchlist[[#This Row],[Analysis]],". ",,Watchlist[[#This Row],[Analysis History]]))</calculatedColumnFormula>
    </tableColumn>
    <tableColumn id="14" xr3:uid="{F065DAF7-6DA0-45BB-9D6E-469EE38FE218}" name="Analysis History" dataDxfId="9"/>
    <tableColumn id="13" xr3:uid="{FC9640A3-959C-4FDF-99F5-EDD81D7710DD}" name="Defensive material?" dataDxfId="8"/>
    <tableColumn id="24" xr3:uid="{A905ECF3-4319-4054-8989-91C4187A87F7}" name="Sugar daddy material?" dataDxfId="7"/>
    <tableColumn id="12" xr3:uid="{9050F22B-5A76-4AEC-AD7A-917A79897A15}" name="Swing material?" dataDxfId="6"/>
    <tableColumn id="23" xr3:uid="{5A04E93C-5CCE-45F7-A88C-D90A22B7C326}" name="Watch-for-fun material?" dataDxfId="5"/>
    <tableColumn id="16" xr3:uid="{C79D3133-B5B4-45AF-B620-1D22E6E6E279}" name="Hot leads?" dataDxfId="4"/>
    <tableColumn id="19" xr3:uid="{E075167E-55A6-4FAB-99E2-906F4CCE0518}" name="Target Price" dataDxfId="3"/>
    <tableColumn id="18" xr3:uid="{0AA4A7FA-520C-40C9-93FE-CFC251E127F6}" name="Note" dataDxfId="2"/>
    <tableColumn id="17" xr3:uid="{61509146-F9C6-408E-A320-12949724B252}" name="Note (temp)" dataDxfId="1">
      <calculatedColumnFormula>IF(Watchlist[[#This Row],[Note]]="",Watchlist[[#This Row],[Note History]],CONCATENATE(TEXT(TODAY(),"yyyy-mm-dd"),": ",Watchlist[[#This Row],[Note]],". ",,Watchlist[[#This Row],[Note History]]))</calculatedColumnFormula>
    </tableColumn>
    <tableColumn id="8" xr3:uid="{A98E1BA3-3039-4154-9F8E-0914FE28234C}" name="Note History"/>
    <tableColumn id="25" xr3:uid="{22394223-3793-4F6D-999D-62C495ED90DD}" name="Included in watchlist check?" dataDxfId="0">
      <calculatedColumnFormula>IF(Watchlist[[#This Row],[Ticker ]]="","",IF(Watchlist[[#This Row],[Action]]="Delete","N","Y"))</calculatedColumnFormula>
    </tableColumn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D5CF23-A232-45AA-8CDB-5177396D7664}">
  <sheetPr codeName="Sheet1"/>
  <dimension ref="A1:V171"/>
  <sheetViews>
    <sheetView workbookViewId="0">
      <pane xSplit="1" ySplit="2" topLeftCell="B3" activePane="bottomRight" state="frozen"/>
      <selection pane="topRight" activeCell="B1" sqref="B1"/>
      <selection pane="bottomLeft" activeCell="A2" sqref="A2"/>
      <selection pane="bottomRight" activeCell="A4" sqref="A4"/>
    </sheetView>
  </sheetViews>
  <sheetFormatPr defaultRowHeight="31.5" x14ac:dyDescent="0.5"/>
  <cols>
    <col min="1" max="1" width="11" customWidth="1"/>
    <col min="2" max="2" width="15.5703125" customWidth="1"/>
    <col min="4" max="4" width="25.7109375" style="2" hidden="1" customWidth="1"/>
    <col min="5" max="5" width="9.42578125" customWidth="1"/>
    <col min="6" max="6" width="9.85546875" hidden="1" customWidth="1"/>
    <col min="7" max="7" width="21" style="2" hidden="1" customWidth="1"/>
    <col min="8" max="8" width="9.7109375" hidden="1" customWidth="1"/>
    <col min="9" max="9" width="10.42578125" customWidth="1"/>
    <col min="10" max="10" width="35.140625" customWidth="1"/>
    <col min="11" max="11" width="35.140625" style="2" hidden="1" customWidth="1"/>
    <col min="12" max="12" width="35.140625" customWidth="1"/>
    <col min="13" max="14" width="12.7109375" customWidth="1"/>
    <col min="15" max="16" width="12.42578125" customWidth="1"/>
    <col min="17" max="17" width="12.42578125" style="3" customWidth="1"/>
    <col min="18" max="18" width="14.28515625" style="3" customWidth="1"/>
    <col min="19" max="19" width="39.7109375" style="3" customWidth="1"/>
    <col min="20" max="20" width="89.42578125" hidden="1" customWidth="1"/>
    <col min="21" max="21" width="58.7109375" customWidth="1"/>
  </cols>
  <sheetData>
    <row r="1" spans="1:22" x14ac:dyDescent="0.5">
      <c r="A1" t="s">
        <v>33</v>
      </c>
      <c r="B1" s="6">
        <v>45746</v>
      </c>
      <c r="D1"/>
      <c r="G1"/>
      <c r="K1"/>
    </row>
    <row r="2" spans="1:22" s="1" customFormat="1" ht="60" x14ac:dyDescent="0.25">
      <c r="A2" s="1" t="s">
        <v>4</v>
      </c>
      <c r="B2" s="1" t="s">
        <v>0</v>
      </c>
      <c r="C2" s="1" t="s">
        <v>5</v>
      </c>
      <c r="D2" s="1" t="s">
        <v>27</v>
      </c>
      <c r="E2" s="1" t="s">
        <v>6</v>
      </c>
      <c r="F2" s="1" t="s">
        <v>1</v>
      </c>
      <c r="G2" s="1" t="s">
        <v>15</v>
      </c>
      <c r="H2" s="1" t="s">
        <v>16</v>
      </c>
      <c r="I2" s="1" t="s">
        <v>7</v>
      </c>
      <c r="J2" s="1" t="s">
        <v>32</v>
      </c>
      <c r="K2" s="1" t="s">
        <v>20</v>
      </c>
      <c r="L2" s="1" t="s">
        <v>19</v>
      </c>
      <c r="M2" s="1" t="s">
        <v>66</v>
      </c>
      <c r="N2" s="1" t="s">
        <v>67</v>
      </c>
      <c r="O2" s="1" t="s">
        <v>18</v>
      </c>
      <c r="P2" s="1" t="s">
        <v>25</v>
      </c>
      <c r="Q2" s="1" t="s">
        <v>21</v>
      </c>
      <c r="R2" s="1" t="s">
        <v>34</v>
      </c>
      <c r="S2" s="1" t="s">
        <v>2</v>
      </c>
      <c r="T2" s="1" t="s">
        <v>24</v>
      </c>
      <c r="U2" s="1" t="s">
        <v>23</v>
      </c>
      <c r="V2" s="1" t="s">
        <v>26</v>
      </c>
    </row>
    <row r="3" spans="1:22" ht="213.75" x14ac:dyDescent="0.5">
      <c r="A3" t="s">
        <v>3</v>
      </c>
      <c r="B3" t="s">
        <v>14</v>
      </c>
      <c r="D3" t="str">
        <f ca="1">IF(Watchlist[[#This Row],[Grade]]="",Watchlist[[#This Row],[Grade history]],CONCATENATE(TEXT(TODAY(),"yyyy-mm-dd"),": ",Watchlist[[#This Row],[Grade]],". ",,Watchlist[[#This Row],[Grade history]]))</f>
        <v xml:space="preserve">2025-03-28: A. Mar-25-2025: A. </v>
      </c>
      <c r="E3" t="s">
        <v>58</v>
      </c>
      <c r="G3" t="str">
        <f ca="1">IF(Watchlist[[#This Row],[Price]]="",Watchlist[[#This Row],[Price history]],CONCATENATE(TEXT(TODAY(),"yyyy-mm-dd"),": ",Watchlist[[#This Row],[Price]],". ",,Watchlist[[#This Row],[Price history]]))</f>
        <v xml:space="preserve">2025-03-28: 170.56. </v>
      </c>
      <c r="H3" t="s">
        <v>59</v>
      </c>
      <c r="I3" t="s">
        <v>11</v>
      </c>
      <c r="J3" s="1"/>
      <c r="K3" s="1" t="str">
        <f ca="1">IF(Watchlist[[#This Row],[Analysis]]="",Watchlist[[#This Row],[Analysis History]],CONCATENATE(TEXT(TODAY(),"mmm-dd-yyyy"),": ",Watchlist[[#This Row],[Analysis]],". ",,Watchlist[[#This Row],[Analysis History]]))</f>
        <v>Mar-28-2025: 2025-03-25: Solid long-term hold and decent for swings on pullbacks
Healthy chart, AI exposure, big money support
💡 Use as a “stability anchor” in your watchlist. 2025-03-25: Solid long-term hold and decent for swings on pullbacks
Healthy chart, AI exposure, big money support
💡 Use as a “stability anchor” in your watchlist</v>
      </c>
      <c r="L3" s="1" t="s">
        <v>60</v>
      </c>
      <c r="M3" s="1"/>
      <c r="N3" s="1"/>
      <c r="O3" s="1"/>
      <c r="P3" s="1"/>
      <c r="Q3" s="44"/>
      <c r="R3" s="44"/>
      <c r="S3" s="1"/>
      <c r="T3" s="1" t="str">
        <f ca="1">IF(Watchlist[[#This Row],[Note]]="",Watchlist[[#This Row],[Note History]],CONCATENATE(TEXT(TODAY(),"yyyy-mm-dd"),": ",Watchlist[[#This Row],[Note]],". ",,Watchlist[[#This Row],[Note History]]))</f>
        <v>Current Trend: Range-y but stable. Less hot than META but safer
52W Range: ~$100 → $174
Earnings/AI news often cause random pops
🔍 Smart Entry Zones:
Setup	Price Range	Why
💰 Base Add Zone	$160–$165	Clean support, RSI tends to bounce from here
🧠 Breakout Add	Above $175–$180	Only if you're riding momentum toward $200 club
😌 Dream Entry	$145–$150	Last strong swing low support. May not hit unless tech tanks a bit
📌 Ideal for Swing: $160–$164
📌 Ideal for Long-Term Add: Anything under $160 = 🧠💰</v>
      </c>
      <c r="U3" s="1" t="s">
        <v>17</v>
      </c>
      <c r="V3" t="str">
        <f>IF(Watchlist[[#This Row],[Ticker ]]="","",IF(Watchlist[[#This Row],[Action]]="Delete","N","Y"))</f>
        <v>Y</v>
      </c>
    </row>
    <row r="4" spans="1:22" x14ac:dyDescent="0.5">
      <c r="A4" t="s">
        <v>98</v>
      </c>
      <c r="D4">
        <f ca="1">IF(Watchlist[[#This Row],[Grade]]="",Watchlist[[#This Row],[Grade history]],CONCATENATE(TEXT(TODAY(),"yyyy-mm-dd"),": ",Watchlist[[#This Row],[Grade]],". ",,Watchlist[[#This Row],[Grade history]]))</f>
        <v>0</v>
      </c>
      <c r="E4">
        <v>0</v>
      </c>
      <c r="G4">
        <f ca="1">IF(Watchlist[[#This Row],[Price]]="",Watchlist[[#This Row],[Price history]],CONCATENATE(TEXT(TODAY(),"yyyy-mm-dd"),": ",Watchlist[[#This Row],[Price]],". ",,Watchlist[[#This Row],[Price history]]))</f>
        <v>0</v>
      </c>
      <c r="H4">
        <v>0</v>
      </c>
      <c r="K4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4" s="1">
        <v>0</v>
      </c>
      <c r="M4" s="1"/>
      <c r="N4" s="1"/>
      <c r="O4" s="1"/>
      <c r="P4" s="1"/>
      <c r="Q4" s="44"/>
      <c r="R4" s="44"/>
      <c r="S4" s="1"/>
      <c r="T4" s="1">
        <f ca="1">IF(Watchlist[[#This Row],[Note]]="",Watchlist[[#This Row],[Note History]],CONCATENATE(TEXT(TODAY(),"yyyy-mm-dd"),": ",Watchlist[[#This Row],[Note]],". ",,Watchlist[[#This Row],[Note History]]))</f>
        <v>0</v>
      </c>
      <c r="U4">
        <v>0</v>
      </c>
      <c r="V4" t="str">
        <f>IF(Watchlist[[#This Row],[Ticker ]]="","",IF(Watchlist[[#This Row],[Action]]="Delete","N","Y"))</f>
        <v>Y</v>
      </c>
    </row>
    <row r="5" spans="1:22" x14ac:dyDescent="0.5">
      <c r="A5" t="s">
        <v>99</v>
      </c>
      <c r="D5">
        <f ca="1">IF(Watchlist[[#This Row],[Grade]]="",Watchlist[[#This Row],[Grade history]],CONCATENATE(TEXT(TODAY(),"yyyy-mm-dd"),": ",Watchlist[[#This Row],[Grade]],". ",,Watchlist[[#This Row],[Grade history]]))</f>
        <v>0</v>
      </c>
      <c r="E5">
        <v>0</v>
      </c>
      <c r="G5">
        <f ca="1">IF(Watchlist[[#This Row],[Price]]="",Watchlist[[#This Row],[Price history]],CONCATENATE(TEXT(TODAY(),"yyyy-mm-dd"),": ",Watchlist[[#This Row],[Price]],". ",,Watchlist[[#This Row],[Price history]]))</f>
        <v>0</v>
      </c>
      <c r="H5">
        <v>0</v>
      </c>
      <c r="K5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5" s="1">
        <v>0</v>
      </c>
      <c r="M5" s="1"/>
      <c r="N5" s="1"/>
      <c r="O5" s="1"/>
      <c r="P5" s="1"/>
      <c r="Q5" s="44"/>
      <c r="R5" s="44"/>
      <c r="S5" s="1"/>
      <c r="T5" s="1">
        <f ca="1">IF(Watchlist[[#This Row],[Note]]="",Watchlist[[#This Row],[Note History]],CONCATENATE(TEXT(TODAY(),"yyyy-mm-dd"),": ",Watchlist[[#This Row],[Note]],". ",,Watchlist[[#This Row],[Note History]]))</f>
        <v>0</v>
      </c>
      <c r="U5">
        <v>0</v>
      </c>
      <c r="V5" t="str">
        <f>IF(Watchlist[[#This Row],[Ticker ]]="","",IF(Watchlist[[#This Row],[Action]]="Delete","N","Y"))</f>
        <v>Y</v>
      </c>
    </row>
    <row r="6" spans="1:22" x14ac:dyDescent="0.5">
      <c r="D6">
        <f ca="1">IF(Watchlist[[#This Row],[Grade]]="",Watchlist[[#This Row],[Grade history]],CONCATENATE(TEXT(TODAY(),"yyyy-mm-dd"),": ",Watchlist[[#This Row],[Grade]],". ",,Watchlist[[#This Row],[Grade history]]))</f>
        <v>0</v>
      </c>
      <c r="E6">
        <v>0</v>
      </c>
      <c r="G6">
        <f ca="1">IF(Watchlist[[#This Row],[Price]]="",Watchlist[[#This Row],[Price history]],CONCATENATE(TEXT(TODAY(),"yyyy-mm-dd"),": ",Watchlist[[#This Row],[Price]],". ",,Watchlist[[#This Row],[Price history]]))</f>
        <v>0</v>
      </c>
      <c r="H6">
        <v>0</v>
      </c>
      <c r="K6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6" s="1">
        <v>0</v>
      </c>
      <c r="M6" s="1"/>
      <c r="N6" s="1"/>
      <c r="O6" s="1"/>
      <c r="P6" s="1"/>
      <c r="Q6" s="44"/>
      <c r="R6" s="44"/>
      <c r="S6" s="1"/>
      <c r="T6" s="1">
        <f ca="1">IF(Watchlist[[#This Row],[Note]]="",Watchlist[[#This Row],[Note History]],CONCATENATE(TEXT(TODAY(),"yyyy-mm-dd"),": ",Watchlist[[#This Row],[Note]],". ",,Watchlist[[#This Row],[Note History]]))</f>
        <v>0</v>
      </c>
      <c r="U6">
        <v>0</v>
      </c>
      <c r="V6" t="str">
        <f>IF(Watchlist[[#This Row],[Ticker ]]="","",IF(Watchlist[[#This Row],[Action]]="Delete","N","Y"))</f>
        <v/>
      </c>
    </row>
    <row r="7" spans="1:22" x14ac:dyDescent="0.5">
      <c r="D7">
        <f ca="1">IF(Watchlist[[#This Row],[Grade]]="",Watchlist[[#This Row],[Grade history]],CONCATENATE(TEXT(TODAY(),"yyyy-mm-dd"),": ",Watchlist[[#This Row],[Grade]],". ",,Watchlist[[#This Row],[Grade history]]))</f>
        <v>0</v>
      </c>
      <c r="E7">
        <v>0</v>
      </c>
      <c r="G7">
        <f ca="1">IF(Watchlist[[#This Row],[Price]]="",Watchlist[[#This Row],[Price history]],CONCATENATE(TEXT(TODAY(),"yyyy-mm-dd"),": ",Watchlist[[#This Row],[Price]],". ",,Watchlist[[#This Row],[Price history]]))</f>
        <v>0</v>
      </c>
      <c r="H7">
        <v>0</v>
      </c>
      <c r="K7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7" s="1">
        <v>0</v>
      </c>
      <c r="M7" s="1"/>
      <c r="N7" s="1"/>
      <c r="O7" s="1"/>
      <c r="P7" s="1"/>
      <c r="Q7" s="44"/>
      <c r="R7" s="44"/>
      <c r="S7" s="1"/>
      <c r="T7" s="1">
        <f ca="1">IF(Watchlist[[#This Row],[Note]]="",Watchlist[[#This Row],[Note History]],CONCATENATE(TEXT(TODAY(),"yyyy-mm-dd"),": ",Watchlist[[#This Row],[Note]],". ",,Watchlist[[#This Row],[Note History]]))</f>
        <v>0</v>
      </c>
      <c r="U7">
        <v>0</v>
      </c>
      <c r="V7" t="str">
        <f>IF(Watchlist[[#This Row],[Ticker ]]="","",IF(Watchlist[[#This Row],[Action]]="Delete","N","Y"))</f>
        <v/>
      </c>
    </row>
    <row r="8" spans="1:22" x14ac:dyDescent="0.5">
      <c r="D8">
        <f ca="1">IF(Watchlist[[#This Row],[Grade]]="",Watchlist[[#This Row],[Grade history]],CONCATENATE(TEXT(TODAY(),"yyyy-mm-dd"),": ",Watchlist[[#This Row],[Grade]],". ",,Watchlist[[#This Row],[Grade history]]))</f>
        <v>0</v>
      </c>
      <c r="E8">
        <v>0</v>
      </c>
      <c r="G8">
        <f ca="1">IF(Watchlist[[#This Row],[Price]]="",Watchlist[[#This Row],[Price history]],CONCATENATE(TEXT(TODAY(),"yyyy-mm-dd"),": ",Watchlist[[#This Row],[Price]],". ",,Watchlist[[#This Row],[Price history]]))</f>
        <v>0</v>
      </c>
      <c r="H8">
        <v>0</v>
      </c>
      <c r="K8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8" s="1">
        <v>0</v>
      </c>
      <c r="M8" s="1"/>
      <c r="N8" s="1"/>
      <c r="O8" s="1"/>
      <c r="P8" s="1"/>
      <c r="Q8" s="44"/>
      <c r="R8" s="44"/>
      <c r="S8" s="1"/>
      <c r="T8" s="1">
        <f ca="1">IF(Watchlist[[#This Row],[Note]]="",Watchlist[[#This Row],[Note History]],CONCATENATE(TEXT(TODAY(),"yyyy-mm-dd"),": ",Watchlist[[#This Row],[Note]],". ",,Watchlist[[#This Row],[Note History]]))</f>
        <v>0</v>
      </c>
      <c r="U8">
        <v>0</v>
      </c>
      <c r="V8" t="str">
        <f>IF(Watchlist[[#This Row],[Ticker ]]="","",IF(Watchlist[[#This Row],[Action]]="Delete","N","Y"))</f>
        <v/>
      </c>
    </row>
    <row r="9" spans="1:22" x14ac:dyDescent="0.5">
      <c r="D9">
        <f ca="1">IF(Watchlist[[#This Row],[Grade]]="",Watchlist[[#This Row],[Grade history]],CONCATENATE(TEXT(TODAY(),"yyyy-mm-dd"),": ",Watchlist[[#This Row],[Grade]],". ",,Watchlist[[#This Row],[Grade history]]))</f>
        <v>0</v>
      </c>
      <c r="E9">
        <v>0</v>
      </c>
      <c r="G9">
        <f ca="1">IF(Watchlist[[#This Row],[Price]]="",Watchlist[[#This Row],[Price history]],CONCATENATE(TEXT(TODAY(),"yyyy-mm-dd"),": ",Watchlist[[#This Row],[Price]],". ",,Watchlist[[#This Row],[Price history]]))</f>
        <v>0</v>
      </c>
      <c r="H9">
        <v>0</v>
      </c>
      <c r="K9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9" s="1">
        <v>0</v>
      </c>
      <c r="M9" s="1"/>
      <c r="N9" s="1"/>
      <c r="O9" s="1"/>
      <c r="P9" s="1"/>
      <c r="Q9" s="44"/>
      <c r="R9" s="44"/>
      <c r="S9" s="1"/>
      <c r="T9" s="1">
        <f ca="1">IF(Watchlist[[#This Row],[Note]]="",Watchlist[[#This Row],[Note History]],CONCATENATE(TEXT(TODAY(),"yyyy-mm-dd"),": ",Watchlist[[#This Row],[Note]],". ",,Watchlist[[#This Row],[Note History]]))</f>
        <v>0</v>
      </c>
      <c r="U9">
        <v>0</v>
      </c>
      <c r="V9" t="str">
        <f>IF(Watchlist[[#This Row],[Ticker ]]="","",IF(Watchlist[[#This Row],[Action]]="Delete","N","Y"))</f>
        <v/>
      </c>
    </row>
    <row r="10" spans="1:22" x14ac:dyDescent="0.5">
      <c r="D10">
        <f ca="1">IF(Watchlist[[#This Row],[Grade]]="",Watchlist[[#This Row],[Grade history]],CONCATENATE(TEXT(TODAY(),"yyyy-mm-dd"),": ",Watchlist[[#This Row],[Grade]],". ",,Watchlist[[#This Row],[Grade history]]))</f>
        <v>0</v>
      </c>
      <c r="E10">
        <v>0</v>
      </c>
      <c r="G10">
        <f ca="1">IF(Watchlist[[#This Row],[Price]]="",Watchlist[[#This Row],[Price history]],CONCATENATE(TEXT(TODAY(),"yyyy-mm-dd"),": ",Watchlist[[#This Row],[Price]],". ",,Watchlist[[#This Row],[Price history]]))</f>
        <v>0</v>
      </c>
      <c r="H10">
        <v>0</v>
      </c>
      <c r="K10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0" s="1">
        <v>0</v>
      </c>
      <c r="M10" s="1"/>
      <c r="N10" s="1"/>
      <c r="O10" s="1"/>
      <c r="P10" s="1"/>
      <c r="Q10" s="44"/>
      <c r="R10" s="44"/>
      <c r="S10" s="1"/>
      <c r="T10" s="1">
        <f ca="1">IF(Watchlist[[#This Row],[Note]]="",Watchlist[[#This Row],[Note History]],CONCATENATE(TEXT(TODAY(),"yyyy-mm-dd"),": ",Watchlist[[#This Row],[Note]],". ",,Watchlist[[#This Row],[Note History]]))</f>
        <v>0</v>
      </c>
      <c r="U10">
        <v>0</v>
      </c>
      <c r="V10" t="str">
        <f>IF(Watchlist[[#This Row],[Ticker ]]="","",IF(Watchlist[[#This Row],[Action]]="Delete","N","Y"))</f>
        <v/>
      </c>
    </row>
    <row r="11" spans="1:22" x14ac:dyDescent="0.5">
      <c r="D11">
        <f ca="1">IF(Watchlist[[#This Row],[Grade]]="",Watchlist[[#This Row],[Grade history]],CONCATENATE(TEXT(TODAY(),"yyyy-mm-dd"),": ",Watchlist[[#This Row],[Grade]],". ",,Watchlist[[#This Row],[Grade history]]))</f>
        <v>0</v>
      </c>
      <c r="E11">
        <v>0</v>
      </c>
      <c r="G11">
        <f ca="1">IF(Watchlist[[#This Row],[Price]]="",Watchlist[[#This Row],[Price history]],CONCATENATE(TEXT(TODAY(),"yyyy-mm-dd"),": ",Watchlist[[#This Row],[Price]],". ",,Watchlist[[#This Row],[Price history]]))</f>
        <v>0</v>
      </c>
      <c r="H11">
        <v>0</v>
      </c>
      <c r="K11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1" s="1">
        <v>0</v>
      </c>
      <c r="M11" s="1"/>
      <c r="N11" s="1"/>
      <c r="O11" s="1"/>
      <c r="P11" s="1"/>
      <c r="Q11" s="44"/>
      <c r="R11" s="44"/>
      <c r="S11" s="1"/>
      <c r="T11" s="1">
        <f ca="1">IF(Watchlist[[#This Row],[Note]]="",Watchlist[[#This Row],[Note History]],CONCATENATE(TEXT(TODAY(),"yyyy-mm-dd"),": ",Watchlist[[#This Row],[Note]],". ",,Watchlist[[#This Row],[Note History]]))</f>
        <v>0</v>
      </c>
      <c r="U11">
        <v>0</v>
      </c>
      <c r="V11" t="str">
        <f>IF(Watchlist[[#This Row],[Ticker ]]="","",IF(Watchlist[[#This Row],[Action]]="Delete","N","Y"))</f>
        <v/>
      </c>
    </row>
    <row r="12" spans="1:22" x14ac:dyDescent="0.5">
      <c r="D12">
        <f ca="1">IF(Watchlist[[#This Row],[Grade]]="",Watchlist[[#This Row],[Grade history]],CONCATENATE(TEXT(TODAY(),"yyyy-mm-dd"),": ",Watchlist[[#This Row],[Grade]],". ",,Watchlist[[#This Row],[Grade history]]))</f>
        <v>0</v>
      </c>
      <c r="E12">
        <v>0</v>
      </c>
      <c r="G12">
        <f ca="1">IF(Watchlist[[#This Row],[Price]]="",Watchlist[[#This Row],[Price history]],CONCATENATE(TEXT(TODAY(),"yyyy-mm-dd"),": ",Watchlist[[#This Row],[Price]],". ",,Watchlist[[#This Row],[Price history]]))</f>
        <v>0</v>
      </c>
      <c r="H12">
        <v>0</v>
      </c>
      <c r="K12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2" s="1">
        <v>0</v>
      </c>
      <c r="M12" s="1"/>
      <c r="N12" s="1"/>
      <c r="O12" s="1"/>
      <c r="P12" s="1"/>
      <c r="Q12" s="44"/>
      <c r="R12" s="44"/>
      <c r="S12" s="1"/>
      <c r="T12" s="1">
        <f ca="1">IF(Watchlist[[#This Row],[Note]]="",Watchlist[[#This Row],[Note History]],CONCATENATE(TEXT(TODAY(),"yyyy-mm-dd"),": ",Watchlist[[#This Row],[Note]],". ",,Watchlist[[#This Row],[Note History]]))</f>
        <v>0</v>
      </c>
      <c r="U12">
        <v>0</v>
      </c>
      <c r="V12" t="str">
        <f>IF(Watchlist[[#This Row],[Ticker ]]="","",IF(Watchlist[[#This Row],[Action]]="Delete","N","Y"))</f>
        <v/>
      </c>
    </row>
    <row r="13" spans="1:22" x14ac:dyDescent="0.5">
      <c r="D13">
        <f ca="1">IF(Watchlist[[#This Row],[Grade]]="",Watchlist[[#This Row],[Grade history]],CONCATENATE(TEXT(TODAY(),"yyyy-mm-dd"),": ",Watchlist[[#This Row],[Grade]],". ",,Watchlist[[#This Row],[Grade history]]))</f>
        <v>0</v>
      </c>
      <c r="E13">
        <v>0</v>
      </c>
      <c r="G13">
        <f ca="1">IF(Watchlist[[#This Row],[Price]]="",Watchlist[[#This Row],[Price history]],CONCATENATE(TEXT(TODAY(),"yyyy-mm-dd"),": ",Watchlist[[#This Row],[Price]],". ",,Watchlist[[#This Row],[Price history]]))</f>
        <v>0</v>
      </c>
      <c r="H13">
        <v>0</v>
      </c>
      <c r="K13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3" s="1">
        <v>0</v>
      </c>
      <c r="M13" s="1"/>
      <c r="N13" s="1"/>
      <c r="O13" s="1"/>
      <c r="P13" s="1"/>
      <c r="Q13" s="44"/>
      <c r="R13" s="44"/>
      <c r="S13" s="1"/>
      <c r="T13" s="1">
        <f ca="1">IF(Watchlist[[#This Row],[Note]]="",Watchlist[[#This Row],[Note History]],CONCATENATE(TEXT(TODAY(),"yyyy-mm-dd"),": ",Watchlist[[#This Row],[Note]],". ",,Watchlist[[#This Row],[Note History]]))</f>
        <v>0</v>
      </c>
      <c r="U13">
        <v>0</v>
      </c>
      <c r="V13" t="str">
        <f>IF(Watchlist[[#This Row],[Ticker ]]="","",IF(Watchlist[[#This Row],[Action]]="Delete","N","Y"))</f>
        <v/>
      </c>
    </row>
    <row r="14" spans="1:22" x14ac:dyDescent="0.5">
      <c r="D14">
        <f ca="1">IF(Watchlist[[#This Row],[Grade]]="",Watchlist[[#This Row],[Grade history]],CONCATENATE(TEXT(TODAY(),"yyyy-mm-dd"),": ",Watchlist[[#This Row],[Grade]],". ",,Watchlist[[#This Row],[Grade history]]))</f>
        <v>0</v>
      </c>
      <c r="E14">
        <v>0</v>
      </c>
      <c r="G14">
        <f ca="1">IF(Watchlist[[#This Row],[Price]]="",Watchlist[[#This Row],[Price history]],CONCATENATE(TEXT(TODAY(),"yyyy-mm-dd"),": ",Watchlist[[#This Row],[Price]],". ",,Watchlist[[#This Row],[Price history]]))</f>
        <v>0</v>
      </c>
      <c r="H14">
        <v>0</v>
      </c>
      <c r="K14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4" s="1">
        <v>0</v>
      </c>
      <c r="M14" s="1"/>
      <c r="N14" s="1"/>
      <c r="O14" s="1"/>
      <c r="P14" s="1"/>
      <c r="Q14" s="44"/>
      <c r="R14" s="44"/>
      <c r="S14" s="1"/>
      <c r="T14" s="1">
        <f ca="1">IF(Watchlist[[#This Row],[Note]]="",Watchlist[[#This Row],[Note History]],CONCATENATE(TEXT(TODAY(),"yyyy-mm-dd"),": ",Watchlist[[#This Row],[Note]],". ",,Watchlist[[#This Row],[Note History]]))</f>
        <v>0</v>
      </c>
      <c r="U14">
        <v>0</v>
      </c>
      <c r="V14" t="str">
        <f>IF(Watchlist[[#This Row],[Ticker ]]="","",IF(Watchlist[[#This Row],[Action]]="Delete","N","Y"))</f>
        <v/>
      </c>
    </row>
    <row r="15" spans="1:22" x14ac:dyDescent="0.5">
      <c r="D15">
        <f ca="1">IF(Watchlist[[#This Row],[Grade]]="",Watchlist[[#This Row],[Grade history]],CONCATENATE(TEXT(TODAY(),"yyyy-mm-dd"),": ",Watchlist[[#This Row],[Grade]],". ",,Watchlist[[#This Row],[Grade history]]))</f>
        <v>0</v>
      </c>
      <c r="E15">
        <v>0</v>
      </c>
      <c r="G15">
        <f ca="1">IF(Watchlist[[#This Row],[Price]]="",Watchlist[[#This Row],[Price history]],CONCATENATE(TEXT(TODAY(),"yyyy-mm-dd"),": ",Watchlist[[#This Row],[Price]],". ",,Watchlist[[#This Row],[Price history]]))</f>
        <v>0</v>
      </c>
      <c r="H15">
        <v>0</v>
      </c>
      <c r="K15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5" s="1">
        <v>0</v>
      </c>
      <c r="M15" s="1"/>
      <c r="N15" s="1"/>
      <c r="O15" s="1"/>
      <c r="P15" s="1"/>
      <c r="Q15" s="44"/>
      <c r="R15" s="44"/>
      <c r="S15" s="1"/>
      <c r="T15" s="1">
        <f ca="1">IF(Watchlist[[#This Row],[Note]]="",Watchlist[[#This Row],[Note History]],CONCATENATE(TEXT(TODAY(),"yyyy-mm-dd"),": ",Watchlist[[#This Row],[Note]],". ",,Watchlist[[#This Row],[Note History]]))</f>
        <v>0</v>
      </c>
      <c r="U15">
        <v>0</v>
      </c>
      <c r="V15" t="str">
        <f>IF(Watchlist[[#This Row],[Ticker ]]="","",IF(Watchlist[[#This Row],[Action]]="Delete","N","Y"))</f>
        <v/>
      </c>
    </row>
    <row r="16" spans="1:22" x14ac:dyDescent="0.5">
      <c r="D16">
        <f ca="1">IF(Watchlist[[#This Row],[Grade]]="",Watchlist[[#This Row],[Grade history]],CONCATENATE(TEXT(TODAY(),"yyyy-mm-dd"),": ",Watchlist[[#This Row],[Grade]],". ",,Watchlist[[#This Row],[Grade history]]))</f>
        <v>0</v>
      </c>
      <c r="E16">
        <v>0</v>
      </c>
      <c r="G16">
        <f ca="1">IF(Watchlist[[#This Row],[Price]]="",Watchlist[[#This Row],[Price history]],CONCATENATE(TEXT(TODAY(),"yyyy-mm-dd"),": ",Watchlist[[#This Row],[Price]],". ",,Watchlist[[#This Row],[Price history]]))</f>
        <v>0</v>
      </c>
      <c r="H16">
        <v>0</v>
      </c>
      <c r="K16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6" s="1">
        <v>0</v>
      </c>
      <c r="M16" s="1"/>
      <c r="N16" s="1"/>
      <c r="O16" s="1"/>
      <c r="P16" s="1"/>
      <c r="Q16" s="44"/>
      <c r="R16" s="44"/>
      <c r="S16" s="1"/>
      <c r="T16" s="1">
        <f ca="1">IF(Watchlist[[#This Row],[Note]]="",Watchlist[[#This Row],[Note History]],CONCATENATE(TEXT(TODAY(),"yyyy-mm-dd"),": ",Watchlist[[#This Row],[Note]],". ",,Watchlist[[#This Row],[Note History]]))</f>
        <v>0</v>
      </c>
      <c r="U16">
        <v>0</v>
      </c>
      <c r="V16" t="str">
        <f>IF(Watchlist[[#This Row],[Ticker ]]="","",IF(Watchlist[[#This Row],[Action]]="Delete","N","Y"))</f>
        <v/>
      </c>
    </row>
    <row r="17" spans="4:22" x14ac:dyDescent="0.5">
      <c r="D17">
        <f ca="1">IF(Watchlist[[#This Row],[Grade]]="",Watchlist[[#This Row],[Grade history]],CONCATENATE(TEXT(TODAY(),"yyyy-mm-dd"),": ",Watchlist[[#This Row],[Grade]],". ",,Watchlist[[#This Row],[Grade history]]))</f>
        <v>0</v>
      </c>
      <c r="E17">
        <v>0</v>
      </c>
      <c r="G17">
        <f ca="1">IF(Watchlist[[#This Row],[Price]]="",Watchlist[[#This Row],[Price history]],CONCATENATE(TEXT(TODAY(),"yyyy-mm-dd"),": ",Watchlist[[#This Row],[Price]],". ",,Watchlist[[#This Row],[Price history]]))</f>
        <v>0</v>
      </c>
      <c r="H17">
        <v>0</v>
      </c>
      <c r="K17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7" s="1">
        <v>0</v>
      </c>
      <c r="M17" s="1"/>
      <c r="N17" s="1"/>
      <c r="O17" s="1"/>
      <c r="P17" s="1"/>
      <c r="Q17" s="44"/>
      <c r="R17" s="44"/>
      <c r="S17" s="1"/>
      <c r="T17" s="1">
        <f ca="1">IF(Watchlist[[#This Row],[Note]]="",Watchlist[[#This Row],[Note History]],CONCATENATE(TEXT(TODAY(),"yyyy-mm-dd"),": ",Watchlist[[#This Row],[Note]],". ",,Watchlist[[#This Row],[Note History]]))</f>
        <v>0</v>
      </c>
      <c r="U17">
        <v>0</v>
      </c>
      <c r="V17" t="str">
        <f>IF(Watchlist[[#This Row],[Ticker ]]="","",IF(Watchlist[[#This Row],[Action]]="Delete","N","Y"))</f>
        <v/>
      </c>
    </row>
    <row r="18" spans="4:22" x14ac:dyDescent="0.5">
      <c r="D18">
        <f ca="1">IF(Watchlist[[#This Row],[Grade]]="",Watchlist[[#This Row],[Grade history]],CONCATENATE(TEXT(TODAY(),"yyyy-mm-dd"),": ",Watchlist[[#This Row],[Grade]],". ",,Watchlist[[#This Row],[Grade history]]))</f>
        <v>0</v>
      </c>
      <c r="E18">
        <v>0</v>
      </c>
      <c r="G18">
        <f ca="1">IF(Watchlist[[#This Row],[Price]]="",Watchlist[[#This Row],[Price history]],CONCATENATE(TEXT(TODAY(),"yyyy-mm-dd"),": ",Watchlist[[#This Row],[Price]],". ",,Watchlist[[#This Row],[Price history]]))</f>
        <v>0</v>
      </c>
      <c r="H18">
        <v>0</v>
      </c>
      <c r="K18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8" s="1">
        <v>0</v>
      </c>
      <c r="M18" s="1"/>
      <c r="N18" s="1"/>
      <c r="O18" s="1"/>
      <c r="P18" s="1"/>
      <c r="Q18" s="44"/>
      <c r="R18" s="44"/>
      <c r="S18" s="1"/>
      <c r="T18" s="1">
        <f ca="1">IF(Watchlist[[#This Row],[Note]]="",Watchlist[[#This Row],[Note History]],CONCATENATE(TEXT(TODAY(),"yyyy-mm-dd"),": ",Watchlist[[#This Row],[Note]],". ",,Watchlist[[#This Row],[Note History]]))</f>
        <v>0</v>
      </c>
      <c r="U18">
        <v>0</v>
      </c>
      <c r="V18" t="str">
        <f>IF(Watchlist[[#This Row],[Ticker ]]="","",IF(Watchlist[[#This Row],[Action]]="Delete","N","Y"))</f>
        <v/>
      </c>
    </row>
    <row r="19" spans="4:22" x14ac:dyDescent="0.5">
      <c r="D19">
        <f ca="1">IF(Watchlist[[#This Row],[Grade]]="",Watchlist[[#This Row],[Grade history]],CONCATENATE(TEXT(TODAY(),"yyyy-mm-dd"),": ",Watchlist[[#This Row],[Grade]],". ",,Watchlist[[#This Row],[Grade history]]))</f>
        <v>0</v>
      </c>
      <c r="E19">
        <v>0</v>
      </c>
      <c r="G19">
        <f ca="1">IF(Watchlist[[#This Row],[Price]]="",Watchlist[[#This Row],[Price history]],CONCATENATE(TEXT(TODAY(),"yyyy-mm-dd"),": ",Watchlist[[#This Row],[Price]],". ",,Watchlist[[#This Row],[Price history]]))</f>
        <v>0</v>
      </c>
      <c r="H19">
        <v>0</v>
      </c>
      <c r="K19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9" s="1">
        <v>0</v>
      </c>
      <c r="M19" s="1"/>
      <c r="N19" s="1"/>
      <c r="O19" s="1"/>
      <c r="P19" s="1"/>
      <c r="Q19" s="44"/>
      <c r="R19" s="44"/>
      <c r="S19" s="1"/>
      <c r="T19" s="1">
        <f ca="1">IF(Watchlist[[#This Row],[Note]]="",Watchlist[[#This Row],[Note History]],CONCATENATE(TEXT(TODAY(),"yyyy-mm-dd"),": ",Watchlist[[#This Row],[Note]],". ",,Watchlist[[#This Row],[Note History]]))</f>
        <v>0</v>
      </c>
      <c r="U19">
        <v>0</v>
      </c>
      <c r="V19" t="str">
        <f>IF(Watchlist[[#This Row],[Ticker ]]="","",IF(Watchlist[[#This Row],[Action]]="Delete","N","Y"))</f>
        <v/>
      </c>
    </row>
    <row r="20" spans="4:22" x14ac:dyDescent="0.5">
      <c r="D20">
        <f ca="1">IF(Watchlist[[#This Row],[Grade]]="",Watchlist[[#This Row],[Grade history]],CONCATENATE(TEXT(TODAY(),"yyyy-mm-dd"),": ",Watchlist[[#This Row],[Grade]],". ",,Watchlist[[#This Row],[Grade history]]))</f>
        <v>0</v>
      </c>
      <c r="E20">
        <v>0</v>
      </c>
      <c r="G20">
        <f ca="1">IF(Watchlist[[#This Row],[Price]]="",Watchlist[[#This Row],[Price history]],CONCATENATE(TEXT(TODAY(),"yyyy-mm-dd"),": ",Watchlist[[#This Row],[Price]],". ",,Watchlist[[#This Row],[Price history]]))</f>
        <v>0</v>
      </c>
      <c r="H20">
        <v>0</v>
      </c>
      <c r="K20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20" s="1">
        <v>0</v>
      </c>
      <c r="M20" s="1"/>
      <c r="N20" s="1"/>
      <c r="O20" s="1"/>
      <c r="P20" s="1"/>
      <c r="Q20" s="44"/>
      <c r="R20" s="44"/>
      <c r="S20" s="1"/>
      <c r="T20" s="1">
        <f ca="1">IF(Watchlist[[#This Row],[Note]]="",Watchlist[[#This Row],[Note History]],CONCATENATE(TEXT(TODAY(),"yyyy-mm-dd"),": ",Watchlist[[#This Row],[Note]],". ",,Watchlist[[#This Row],[Note History]]))</f>
        <v>0</v>
      </c>
      <c r="U20">
        <v>0</v>
      </c>
      <c r="V20" t="str">
        <f>IF(Watchlist[[#This Row],[Ticker ]]="","",IF(Watchlist[[#This Row],[Action]]="Delete","N","Y"))</f>
        <v/>
      </c>
    </row>
    <row r="21" spans="4:22" x14ac:dyDescent="0.5">
      <c r="D21">
        <f ca="1">IF(Watchlist[[#This Row],[Grade]]="",Watchlist[[#This Row],[Grade history]],CONCATENATE(TEXT(TODAY(),"yyyy-mm-dd"),": ",Watchlist[[#This Row],[Grade]],". ",,Watchlist[[#This Row],[Grade history]]))</f>
        <v>0</v>
      </c>
      <c r="E21">
        <v>0</v>
      </c>
      <c r="G21">
        <f ca="1">IF(Watchlist[[#This Row],[Price]]="",Watchlist[[#This Row],[Price history]],CONCATENATE(TEXT(TODAY(),"yyyy-mm-dd"),": ",Watchlist[[#This Row],[Price]],". ",,Watchlist[[#This Row],[Price history]]))</f>
        <v>0</v>
      </c>
      <c r="H21">
        <v>0</v>
      </c>
      <c r="K21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21" s="1">
        <v>0</v>
      </c>
      <c r="M21" s="1"/>
      <c r="N21" s="1"/>
      <c r="O21" s="1"/>
      <c r="P21" s="1"/>
      <c r="Q21" s="44"/>
      <c r="R21" s="44"/>
      <c r="S21" s="1"/>
      <c r="T21" s="1">
        <f ca="1">IF(Watchlist[[#This Row],[Note]]="",Watchlist[[#This Row],[Note History]],CONCATENATE(TEXT(TODAY(),"yyyy-mm-dd"),": ",Watchlist[[#This Row],[Note]],". ",,Watchlist[[#This Row],[Note History]]))</f>
        <v>0</v>
      </c>
      <c r="U21">
        <v>0</v>
      </c>
      <c r="V21" t="str">
        <f>IF(Watchlist[[#This Row],[Ticker ]]="","",IF(Watchlist[[#This Row],[Action]]="Delete","N","Y"))</f>
        <v/>
      </c>
    </row>
    <row r="22" spans="4:22" x14ac:dyDescent="0.5">
      <c r="D22">
        <f ca="1">IF(Watchlist[[#This Row],[Grade]]="",Watchlist[[#This Row],[Grade history]],CONCATENATE(TEXT(TODAY(),"yyyy-mm-dd"),": ",Watchlist[[#This Row],[Grade]],". ",,Watchlist[[#This Row],[Grade history]]))</f>
        <v>0</v>
      </c>
      <c r="E22">
        <v>0</v>
      </c>
      <c r="G22">
        <f ca="1">IF(Watchlist[[#This Row],[Price]]="",Watchlist[[#This Row],[Price history]],CONCATENATE(TEXT(TODAY(),"yyyy-mm-dd"),": ",Watchlist[[#This Row],[Price]],". ",,Watchlist[[#This Row],[Price history]]))</f>
        <v>0</v>
      </c>
      <c r="H22">
        <v>0</v>
      </c>
      <c r="K22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22" s="1">
        <v>0</v>
      </c>
      <c r="M22" s="1"/>
      <c r="N22" s="1"/>
      <c r="O22" s="1"/>
      <c r="P22" s="1"/>
      <c r="Q22" s="44"/>
      <c r="R22" s="44"/>
      <c r="S22" s="1"/>
      <c r="T22" s="1">
        <f ca="1">IF(Watchlist[[#This Row],[Note]]="",Watchlist[[#This Row],[Note History]],CONCATENATE(TEXT(TODAY(),"yyyy-mm-dd"),": ",Watchlist[[#This Row],[Note]],". ",,Watchlist[[#This Row],[Note History]]))</f>
        <v>0</v>
      </c>
      <c r="U22">
        <v>0</v>
      </c>
      <c r="V22" t="str">
        <f>IF(Watchlist[[#This Row],[Ticker ]]="","",IF(Watchlist[[#This Row],[Action]]="Delete","N","Y"))</f>
        <v/>
      </c>
    </row>
    <row r="23" spans="4:22" x14ac:dyDescent="0.5">
      <c r="D23">
        <f ca="1">IF(Watchlist[[#This Row],[Grade]]="",Watchlist[[#This Row],[Grade history]],CONCATENATE(TEXT(TODAY(),"yyyy-mm-dd"),": ",Watchlist[[#This Row],[Grade]],". ",,Watchlist[[#This Row],[Grade history]]))</f>
        <v>0</v>
      </c>
      <c r="E23">
        <v>0</v>
      </c>
      <c r="G23">
        <f ca="1">IF(Watchlist[[#This Row],[Price]]="",Watchlist[[#This Row],[Price history]],CONCATENATE(TEXT(TODAY(),"yyyy-mm-dd"),": ",Watchlist[[#This Row],[Price]],". ",,Watchlist[[#This Row],[Price history]]))</f>
        <v>0</v>
      </c>
      <c r="H23">
        <v>0</v>
      </c>
      <c r="K23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23" s="1">
        <v>0</v>
      </c>
      <c r="M23" s="1"/>
      <c r="N23" s="1"/>
      <c r="O23" s="1"/>
      <c r="P23" s="1"/>
      <c r="Q23" s="44"/>
      <c r="R23" s="44"/>
      <c r="S23" s="1"/>
      <c r="T23" s="1">
        <f ca="1">IF(Watchlist[[#This Row],[Note]]="",Watchlist[[#This Row],[Note History]],CONCATENATE(TEXT(TODAY(),"yyyy-mm-dd"),": ",Watchlist[[#This Row],[Note]],". ",,Watchlist[[#This Row],[Note History]]))</f>
        <v>0</v>
      </c>
      <c r="U23">
        <v>0</v>
      </c>
      <c r="V23" t="str">
        <f>IF(Watchlist[[#This Row],[Ticker ]]="","",IF(Watchlist[[#This Row],[Action]]="Delete","N","Y"))</f>
        <v/>
      </c>
    </row>
    <row r="24" spans="4:22" x14ac:dyDescent="0.5">
      <c r="D24">
        <f ca="1">IF(Watchlist[[#This Row],[Grade]]="",Watchlist[[#This Row],[Grade history]],CONCATENATE(TEXT(TODAY(),"yyyy-mm-dd"),": ",Watchlist[[#This Row],[Grade]],". ",,Watchlist[[#This Row],[Grade history]]))</f>
        <v>0</v>
      </c>
      <c r="E24">
        <v>0</v>
      </c>
      <c r="G24">
        <f ca="1">IF(Watchlist[[#This Row],[Price]]="",Watchlist[[#This Row],[Price history]],CONCATENATE(TEXT(TODAY(),"yyyy-mm-dd"),": ",Watchlist[[#This Row],[Price]],". ",,Watchlist[[#This Row],[Price history]]))</f>
        <v>0</v>
      </c>
      <c r="H24">
        <v>0</v>
      </c>
      <c r="K24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24" s="1">
        <v>0</v>
      </c>
      <c r="M24" s="1"/>
      <c r="N24" s="1"/>
      <c r="O24" s="1"/>
      <c r="P24" s="1"/>
      <c r="Q24" s="44"/>
      <c r="R24" s="44"/>
      <c r="S24" s="1"/>
      <c r="T24" s="1">
        <f ca="1">IF(Watchlist[[#This Row],[Note]]="",Watchlist[[#This Row],[Note History]],CONCATENATE(TEXT(TODAY(),"yyyy-mm-dd"),": ",Watchlist[[#This Row],[Note]],". ",,Watchlist[[#This Row],[Note History]]))</f>
        <v>0</v>
      </c>
      <c r="U24">
        <v>0</v>
      </c>
      <c r="V24" t="str">
        <f>IF(Watchlist[[#This Row],[Ticker ]]="","",IF(Watchlist[[#This Row],[Action]]="Delete","N","Y"))</f>
        <v/>
      </c>
    </row>
    <row r="25" spans="4:22" x14ac:dyDescent="0.5">
      <c r="D25">
        <f ca="1">IF(Watchlist[[#This Row],[Grade]]="",Watchlist[[#This Row],[Grade history]],CONCATENATE(TEXT(TODAY(),"yyyy-mm-dd"),": ",Watchlist[[#This Row],[Grade]],". ",,Watchlist[[#This Row],[Grade history]]))</f>
        <v>0</v>
      </c>
      <c r="E25">
        <v>0</v>
      </c>
      <c r="G25">
        <f ca="1">IF(Watchlist[[#This Row],[Price]]="",Watchlist[[#This Row],[Price history]],CONCATENATE(TEXT(TODAY(),"yyyy-mm-dd"),": ",Watchlist[[#This Row],[Price]],". ",,Watchlist[[#This Row],[Price history]]))</f>
        <v>0</v>
      </c>
      <c r="H25">
        <v>0</v>
      </c>
      <c r="K25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25" s="1">
        <v>0</v>
      </c>
      <c r="M25" s="1"/>
      <c r="N25" s="1"/>
      <c r="O25" s="1"/>
      <c r="P25" s="1"/>
      <c r="Q25" s="44"/>
      <c r="R25" s="44"/>
      <c r="S25" s="1"/>
      <c r="T25" s="1">
        <f ca="1">IF(Watchlist[[#This Row],[Note]]="",Watchlist[[#This Row],[Note History]],CONCATENATE(TEXT(TODAY(),"yyyy-mm-dd"),": ",Watchlist[[#This Row],[Note]],". ",,Watchlist[[#This Row],[Note History]]))</f>
        <v>0</v>
      </c>
      <c r="U25">
        <v>0</v>
      </c>
      <c r="V25" t="str">
        <f>IF(Watchlist[[#This Row],[Ticker ]]="","",IF(Watchlist[[#This Row],[Action]]="Delete","N","Y"))</f>
        <v/>
      </c>
    </row>
    <row r="26" spans="4:22" x14ac:dyDescent="0.5">
      <c r="D26">
        <f ca="1">IF(Watchlist[[#This Row],[Grade]]="",Watchlist[[#This Row],[Grade history]],CONCATENATE(TEXT(TODAY(),"yyyy-mm-dd"),": ",Watchlist[[#This Row],[Grade]],". ",,Watchlist[[#This Row],[Grade history]]))</f>
        <v>0</v>
      </c>
      <c r="E26">
        <v>0</v>
      </c>
      <c r="G26">
        <f ca="1">IF(Watchlist[[#This Row],[Price]]="",Watchlist[[#This Row],[Price history]],CONCATENATE(TEXT(TODAY(),"yyyy-mm-dd"),": ",Watchlist[[#This Row],[Price]],". ",,Watchlist[[#This Row],[Price history]]))</f>
        <v>0</v>
      </c>
      <c r="H26">
        <v>0</v>
      </c>
      <c r="K26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26" s="1">
        <v>0</v>
      </c>
      <c r="M26" s="1"/>
      <c r="N26" s="1"/>
      <c r="O26" s="1"/>
      <c r="P26" s="1"/>
      <c r="Q26" s="44"/>
      <c r="R26" s="44"/>
      <c r="S26" s="1"/>
      <c r="T26" s="1">
        <f ca="1">IF(Watchlist[[#This Row],[Note]]="",Watchlist[[#This Row],[Note History]],CONCATENATE(TEXT(TODAY(),"yyyy-mm-dd"),": ",Watchlist[[#This Row],[Note]],". ",,Watchlist[[#This Row],[Note History]]))</f>
        <v>0</v>
      </c>
      <c r="U26">
        <v>0</v>
      </c>
      <c r="V26" t="str">
        <f>IF(Watchlist[[#This Row],[Ticker ]]="","",IF(Watchlist[[#This Row],[Action]]="Delete","N","Y"))</f>
        <v/>
      </c>
    </row>
    <row r="27" spans="4:22" x14ac:dyDescent="0.5">
      <c r="D27">
        <f ca="1">IF(Watchlist[[#This Row],[Grade]]="",Watchlist[[#This Row],[Grade history]],CONCATENATE(TEXT(TODAY(),"yyyy-mm-dd"),": ",Watchlist[[#This Row],[Grade]],". ",,Watchlist[[#This Row],[Grade history]]))</f>
        <v>0</v>
      </c>
      <c r="E27">
        <v>0</v>
      </c>
      <c r="G27">
        <f ca="1">IF(Watchlist[[#This Row],[Price]]="",Watchlist[[#This Row],[Price history]],CONCATENATE(TEXT(TODAY(),"yyyy-mm-dd"),": ",Watchlist[[#This Row],[Price]],". ",,Watchlist[[#This Row],[Price history]]))</f>
        <v>0</v>
      </c>
      <c r="H27">
        <v>0</v>
      </c>
      <c r="K27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27" s="1">
        <v>0</v>
      </c>
      <c r="M27" s="1"/>
      <c r="N27" s="1"/>
      <c r="O27" s="1"/>
      <c r="P27" s="1"/>
      <c r="Q27" s="44"/>
      <c r="R27" s="44"/>
      <c r="S27" s="1"/>
      <c r="T27" s="1">
        <f ca="1">IF(Watchlist[[#This Row],[Note]]="",Watchlist[[#This Row],[Note History]],CONCATENATE(TEXT(TODAY(),"yyyy-mm-dd"),": ",Watchlist[[#This Row],[Note]],". ",,Watchlist[[#This Row],[Note History]]))</f>
        <v>0</v>
      </c>
      <c r="U27">
        <v>0</v>
      </c>
      <c r="V27" t="str">
        <f>IF(Watchlist[[#This Row],[Ticker ]]="","",IF(Watchlist[[#This Row],[Action]]="Delete","N","Y"))</f>
        <v/>
      </c>
    </row>
    <row r="28" spans="4:22" x14ac:dyDescent="0.5">
      <c r="D28">
        <f ca="1">IF(Watchlist[[#This Row],[Grade]]="",Watchlist[[#This Row],[Grade history]],CONCATENATE(TEXT(TODAY(),"yyyy-mm-dd"),": ",Watchlist[[#This Row],[Grade]],". ",,Watchlist[[#This Row],[Grade history]]))</f>
        <v>0</v>
      </c>
      <c r="E28">
        <v>0</v>
      </c>
      <c r="G28">
        <f ca="1">IF(Watchlist[[#This Row],[Price]]="",Watchlist[[#This Row],[Price history]],CONCATENATE(TEXT(TODAY(),"yyyy-mm-dd"),": ",Watchlist[[#This Row],[Price]],". ",,Watchlist[[#This Row],[Price history]]))</f>
        <v>0</v>
      </c>
      <c r="H28">
        <v>0</v>
      </c>
      <c r="K28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28" s="1">
        <v>0</v>
      </c>
      <c r="M28" s="1"/>
      <c r="N28" s="1"/>
      <c r="O28" s="1"/>
      <c r="P28" s="1"/>
      <c r="Q28" s="44"/>
      <c r="R28" s="44"/>
      <c r="S28" s="1"/>
      <c r="T28" s="1">
        <f ca="1">IF(Watchlist[[#This Row],[Note]]="",Watchlist[[#This Row],[Note History]],CONCATENATE(TEXT(TODAY(),"yyyy-mm-dd"),": ",Watchlist[[#This Row],[Note]],". ",,Watchlist[[#This Row],[Note History]]))</f>
        <v>0</v>
      </c>
      <c r="U28">
        <v>0</v>
      </c>
      <c r="V28" t="str">
        <f>IF(Watchlist[[#This Row],[Ticker ]]="","",IF(Watchlist[[#This Row],[Action]]="Delete","N","Y"))</f>
        <v/>
      </c>
    </row>
    <row r="29" spans="4:22" x14ac:dyDescent="0.5">
      <c r="D29">
        <f ca="1">IF(Watchlist[[#This Row],[Grade]]="",Watchlist[[#This Row],[Grade history]],CONCATENATE(TEXT(TODAY(),"yyyy-mm-dd"),": ",Watchlist[[#This Row],[Grade]],". ",,Watchlist[[#This Row],[Grade history]]))</f>
        <v>0</v>
      </c>
      <c r="E29">
        <v>0</v>
      </c>
      <c r="G29">
        <f ca="1">IF(Watchlist[[#This Row],[Price]]="",Watchlist[[#This Row],[Price history]],CONCATENATE(TEXT(TODAY(),"yyyy-mm-dd"),": ",Watchlist[[#This Row],[Price]],". ",,Watchlist[[#This Row],[Price history]]))</f>
        <v>0</v>
      </c>
      <c r="H29">
        <v>0</v>
      </c>
      <c r="K29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29" s="1">
        <v>0</v>
      </c>
      <c r="M29" s="1"/>
      <c r="N29" s="1"/>
      <c r="O29" s="1"/>
      <c r="P29" s="1"/>
      <c r="Q29" s="44"/>
      <c r="R29" s="44"/>
      <c r="S29" s="1"/>
      <c r="T29" s="1">
        <f ca="1">IF(Watchlist[[#This Row],[Note]]="",Watchlist[[#This Row],[Note History]],CONCATENATE(TEXT(TODAY(),"yyyy-mm-dd"),": ",Watchlist[[#This Row],[Note]],". ",,Watchlist[[#This Row],[Note History]]))</f>
        <v>0</v>
      </c>
      <c r="U29">
        <v>0</v>
      </c>
      <c r="V29" t="str">
        <f>IF(Watchlist[[#This Row],[Ticker ]]="","",IF(Watchlist[[#This Row],[Action]]="Delete","N","Y"))</f>
        <v/>
      </c>
    </row>
    <row r="30" spans="4:22" x14ac:dyDescent="0.5">
      <c r="D30">
        <f ca="1">IF(Watchlist[[#This Row],[Grade]]="",Watchlist[[#This Row],[Grade history]],CONCATENATE(TEXT(TODAY(),"yyyy-mm-dd"),": ",Watchlist[[#This Row],[Grade]],". ",,Watchlist[[#This Row],[Grade history]]))</f>
        <v>0</v>
      </c>
      <c r="E30">
        <v>0</v>
      </c>
      <c r="G30">
        <f ca="1">IF(Watchlist[[#This Row],[Price]]="",Watchlist[[#This Row],[Price history]],CONCATENATE(TEXT(TODAY(),"yyyy-mm-dd"),": ",Watchlist[[#This Row],[Price]],". ",,Watchlist[[#This Row],[Price history]]))</f>
        <v>0</v>
      </c>
      <c r="H30">
        <v>0</v>
      </c>
      <c r="K30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30" s="1">
        <v>0</v>
      </c>
      <c r="M30" s="1"/>
      <c r="N30" s="1"/>
      <c r="O30" s="1"/>
      <c r="P30" s="1"/>
      <c r="Q30" s="44"/>
      <c r="R30" s="44"/>
      <c r="S30" s="1"/>
      <c r="T30" s="1">
        <f ca="1">IF(Watchlist[[#This Row],[Note]]="",Watchlist[[#This Row],[Note History]],CONCATENATE(TEXT(TODAY(),"yyyy-mm-dd"),": ",Watchlist[[#This Row],[Note]],". ",,Watchlist[[#This Row],[Note History]]))</f>
        <v>0</v>
      </c>
      <c r="U30">
        <v>0</v>
      </c>
      <c r="V30" t="str">
        <f>IF(Watchlist[[#This Row],[Ticker ]]="","",IF(Watchlist[[#This Row],[Action]]="Delete","N","Y"))</f>
        <v/>
      </c>
    </row>
    <row r="31" spans="4:22" x14ac:dyDescent="0.5">
      <c r="D31">
        <f ca="1">IF(Watchlist[[#This Row],[Grade]]="",Watchlist[[#This Row],[Grade history]],CONCATENATE(TEXT(TODAY(),"yyyy-mm-dd"),": ",Watchlist[[#This Row],[Grade]],". ",,Watchlist[[#This Row],[Grade history]]))</f>
        <v>0</v>
      </c>
      <c r="E31">
        <v>0</v>
      </c>
      <c r="G31">
        <f ca="1">IF(Watchlist[[#This Row],[Price]]="",Watchlist[[#This Row],[Price history]],CONCATENATE(TEXT(TODAY(),"yyyy-mm-dd"),": ",Watchlist[[#This Row],[Price]],". ",,Watchlist[[#This Row],[Price history]]))</f>
        <v>0</v>
      </c>
      <c r="H31">
        <v>0</v>
      </c>
      <c r="K31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31" s="1">
        <v>0</v>
      </c>
      <c r="M31" s="1"/>
      <c r="N31" s="1"/>
      <c r="O31" s="1"/>
      <c r="P31" s="1"/>
      <c r="Q31" s="44"/>
      <c r="R31" s="44"/>
      <c r="S31" s="1"/>
      <c r="T31" s="1">
        <f ca="1">IF(Watchlist[[#This Row],[Note]]="",Watchlist[[#This Row],[Note History]],CONCATENATE(TEXT(TODAY(),"yyyy-mm-dd"),": ",Watchlist[[#This Row],[Note]],". ",,Watchlist[[#This Row],[Note History]]))</f>
        <v>0</v>
      </c>
      <c r="U31">
        <v>0</v>
      </c>
      <c r="V31" t="str">
        <f>IF(Watchlist[[#This Row],[Ticker ]]="","",IF(Watchlist[[#This Row],[Action]]="Delete","N","Y"))</f>
        <v/>
      </c>
    </row>
    <row r="32" spans="4:22" x14ac:dyDescent="0.5">
      <c r="D32">
        <f ca="1">IF(Watchlist[[#This Row],[Grade]]="",Watchlist[[#This Row],[Grade history]],CONCATENATE(TEXT(TODAY(),"yyyy-mm-dd"),": ",Watchlist[[#This Row],[Grade]],". ",,Watchlist[[#This Row],[Grade history]]))</f>
        <v>0</v>
      </c>
      <c r="E32">
        <v>0</v>
      </c>
      <c r="G32">
        <f ca="1">IF(Watchlist[[#This Row],[Price]]="",Watchlist[[#This Row],[Price history]],CONCATENATE(TEXT(TODAY(),"yyyy-mm-dd"),": ",Watchlist[[#This Row],[Price]],". ",,Watchlist[[#This Row],[Price history]]))</f>
        <v>0</v>
      </c>
      <c r="H32">
        <v>0</v>
      </c>
      <c r="K32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32" s="1">
        <v>0</v>
      </c>
      <c r="M32" s="1"/>
      <c r="N32" s="1"/>
      <c r="O32" s="1"/>
      <c r="P32" s="1"/>
      <c r="Q32" s="44"/>
      <c r="R32" s="44"/>
      <c r="S32" s="1"/>
      <c r="T32" s="1">
        <f ca="1">IF(Watchlist[[#This Row],[Note]]="",Watchlist[[#This Row],[Note History]],CONCATENATE(TEXT(TODAY(),"yyyy-mm-dd"),": ",Watchlist[[#This Row],[Note]],". ",,Watchlist[[#This Row],[Note History]]))</f>
        <v>0</v>
      </c>
      <c r="U32">
        <v>0</v>
      </c>
      <c r="V32" t="str">
        <f>IF(Watchlist[[#This Row],[Ticker ]]="","",IF(Watchlist[[#This Row],[Action]]="Delete","N","Y"))</f>
        <v/>
      </c>
    </row>
    <row r="33" spans="4:22" x14ac:dyDescent="0.5">
      <c r="D33">
        <f ca="1">IF(Watchlist[[#This Row],[Grade]]="",Watchlist[[#This Row],[Grade history]],CONCATENATE(TEXT(TODAY(),"yyyy-mm-dd"),": ",Watchlist[[#This Row],[Grade]],". ",,Watchlist[[#This Row],[Grade history]]))</f>
        <v>0</v>
      </c>
      <c r="E33">
        <v>0</v>
      </c>
      <c r="G33">
        <f ca="1">IF(Watchlist[[#This Row],[Price]]="",Watchlist[[#This Row],[Price history]],CONCATENATE(TEXT(TODAY(),"yyyy-mm-dd"),": ",Watchlist[[#This Row],[Price]],". ",,Watchlist[[#This Row],[Price history]]))</f>
        <v>0</v>
      </c>
      <c r="H33">
        <v>0</v>
      </c>
      <c r="K33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33" s="1">
        <v>0</v>
      </c>
      <c r="M33" s="1"/>
      <c r="N33" s="1"/>
      <c r="O33" s="1"/>
      <c r="P33" s="1"/>
      <c r="Q33" s="44"/>
      <c r="R33" s="44"/>
      <c r="S33" s="1"/>
      <c r="T33" s="1">
        <f ca="1">IF(Watchlist[[#This Row],[Note]]="",Watchlist[[#This Row],[Note History]],CONCATENATE(TEXT(TODAY(),"yyyy-mm-dd"),": ",Watchlist[[#This Row],[Note]],". ",,Watchlist[[#This Row],[Note History]]))</f>
        <v>0</v>
      </c>
      <c r="U33">
        <v>0</v>
      </c>
      <c r="V33" t="str">
        <f>IF(Watchlist[[#This Row],[Ticker ]]="","",IF(Watchlist[[#This Row],[Action]]="Delete","N","Y"))</f>
        <v/>
      </c>
    </row>
    <row r="34" spans="4:22" x14ac:dyDescent="0.5">
      <c r="D34">
        <f ca="1">IF(Watchlist[[#This Row],[Grade]]="",Watchlist[[#This Row],[Grade history]],CONCATENATE(TEXT(TODAY(),"yyyy-mm-dd"),": ",Watchlist[[#This Row],[Grade]],". ",,Watchlist[[#This Row],[Grade history]]))</f>
        <v>0</v>
      </c>
      <c r="E34">
        <v>0</v>
      </c>
      <c r="G34">
        <f ca="1">IF(Watchlist[[#This Row],[Price]]="",Watchlist[[#This Row],[Price history]],CONCATENATE(TEXT(TODAY(),"yyyy-mm-dd"),": ",Watchlist[[#This Row],[Price]],". ",,Watchlist[[#This Row],[Price history]]))</f>
        <v>0</v>
      </c>
      <c r="H34">
        <v>0</v>
      </c>
      <c r="K34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34" s="1">
        <v>0</v>
      </c>
      <c r="M34" s="1"/>
      <c r="N34" s="1"/>
      <c r="O34" s="1"/>
      <c r="P34" s="1"/>
      <c r="Q34" s="44"/>
      <c r="R34" s="44"/>
      <c r="S34" s="1"/>
      <c r="T34" s="1">
        <f ca="1">IF(Watchlist[[#This Row],[Note]]="",Watchlist[[#This Row],[Note History]],CONCATENATE(TEXT(TODAY(),"yyyy-mm-dd"),": ",Watchlist[[#This Row],[Note]],". ",,Watchlist[[#This Row],[Note History]]))</f>
        <v>0</v>
      </c>
      <c r="U34">
        <v>0</v>
      </c>
      <c r="V34" t="str">
        <f>IF(Watchlist[[#This Row],[Ticker ]]="","",IF(Watchlist[[#This Row],[Action]]="Delete","N","Y"))</f>
        <v/>
      </c>
    </row>
    <row r="35" spans="4:22" x14ac:dyDescent="0.5">
      <c r="D35">
        <f ca="1">IF(Watchlist[[#This Row],[Grade]]="",Watchlist[[#This Row],[Grade history]],CONCATENATE(TEXT(TODAY(),"yyyy-mm-dd"),": ",Watchlist[[#This Row],[Grade]],". ",,Watchlist[[#This Row],[Grade history]]))</f>
        <v>0</v>
      </c>
      <c r="E35">
        <v>0</v>
      </c>
      <c r="G35">
        <f ca="1">IF(Watchlist[[#This Row],[Price]]="",Watchlist[[#This Row],[Price history]],CONCATENATE(TEXT(TODAY(),"yyyy-mm-dd"),": ",Watchlist[[#This Row],[Price]],". ",,Watchlist[[#This Row],[Price history]]))</f>
        <v>0</v>
      </c>
      <c r="H35">
        <v>0</v>
      </c>
      <c r="K35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35" s="1">
        <v>0</v>
      </c>
      <c r="M35" s="1"/>
      <c r="N35" s="1"/>
      <c r="O35" s="1"/>
      <c r="P35" s="1"/>
      <c r="Q35" s="44"/>
      <c r="R35" s="44"/>
      <c r="S35" s="1"/>
      <c r="T35" s="1">
        <f ca="1">IF(Watchlist[[#This Row],[Note]]="",Watchlist[[#This Row],[Note History]],CONCATENATE(TEXT(TODAY(),"yyyy-mm-dd"),": ",Watchlist[[#This Row],[Note]],". ",,Watchlist[[#This Row],[Note History]]))</f>
        <v>0</v>
      </c>
      <c r="U35">
        <v>0</v>
      </c>
      <c r="V35" t="str">
        <f>IF(Watchlist[[#This Row],[Ticker ]]="","",IF(Watchlist[[#This Row],[Action]]="Delete","N","Y"))</f>
        <v/>
      </c>
    </row>
    <row r="36" spans="4:22" x14ac:dyDescent="0.5">
      <c r="D36">
        <f ca="1">IF(Watchlist[[#This Row],[Grade]]="",Watchlist[[#This Row],[Grade history]],CONCATENATE(TEXT(TODAY(),"yyyy-mm-dd"),": ",Watchlist[[#This Row],[Grade]],". ",,Watchlist[[#This Row],[Grade history]]))</f>
        <v>0</v>
      </c>
      <c r="E36">
        <v>0</v>
      </c>
      <c r="G36">
        <f ca="1">IF(Watchlist[[#This Row],[Price]]="",Watchlist[[#This Row],[Price history]],CONCATENATE(TEXT(TODAY(),"yyyy-mm-dd"),": ",Watchlist[[#This Row],[Price]],". ",,Watchlist[[#This Row],[Price history]]))</f>
        <v>0</v>
      </c>
      <c r="H36">
        <v>0</v>
      </c>
      <c r="K36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36" s="1">
        <v>0</v>
      </c>
      <c r="M36" s="1"/>
      <c r="N36" s="1"/>
      <c r="O36" s="1"/>
      <c r="P36" s="1"/>
      <c r="Q36" s="44"/>
      <c r="R36" s="44"/>
      <c r="S36" s="1"/>
      <c r="T36" s="1">
        <f ca="1">IF(Watchlist[[#This Row],[Note]]="",Watchlist[[#This Row],[Note History]],CONCATENATE(TEXT(TODAY(),"yyyy-mm-dd"),": ",Watchlist[[#This Row],[Note]],". ",,Watchlist[[#This Row],[Note History]]))</f>
        <v>0</v>
      </c>
      <c r="U36">
        <v>0</v>
      </c>
      <c r="V36" t="str">
        <f>IF(Watchlist[[#This Row],[Ticker ]]="","",IF(Watchlist[[#This Row],[Action]]="Delete","N","Y"))</f>
        <v/>
      </c>
    </row>
    <row r="37" spans="4:22" x14ac:dyDescent="0.5">
      <c r="D37">
        <f ca="1">IF(Watchlist[[#This Row],[Grade]]="",Watchlist[[#This Row],[Grade history]],CONCATENATE(TEXT(TODAY(),"yyyy-mm-dd"),": ",Watchlist[[#This Row],[Grade]],". ",,Watchlist[[#This Row],[Grade history]]))</f>
        <v>0</v>
      </c>
      <c r="E37">
        <v>0</v>
      </c>
      <c r="G37">
        <f ca="1">IF(Watchlist[[#This Row],[Price]]="",Watchlist[[#This Row],[Price history]],CONCATENATE(TEXT(TODAY(),"yyyy-mm-dd"),": ",Watchlist[[#This Row],[Price]],". ",,Watchlist[[#This Row],[Price history]]))</f>
        <v>0</v>
      </c>
      <c r="H37">
        <v>0</v>
      </c>
      <c r="K37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37" s="1">
        <v>0</v>
      </c>
      <c r="M37" s="1"/>
      <c r="N37" s="1"/>
      <c r="O37" s="1"/>
      <c r="P37" s="1"/>
      <c r="Q37" s="44"/>
      <c r="R37" s="44"/>
      <c r="S37" s="1"/>
      <c r="T37" s="1">
        <f ca="1">IF(Watchlist[[#This Row],[Note]]="",Watchlist[[#This Row],[Note History]],CONCATENATE(TEXT(TODAY(),"yyyy-mm-dd"),": ",Watchlist[[#This Row],[Note]],". ",,Watchlist[[#This Row],[Note History]]))</f>
        <v>0</v>
      </c>
      <c r="U37">
        <v>0</v>
      </c>
      <c r="V37" t="str">
        <f>IF(Watchlist[[#This Row],[Ticker ]]="","",IF(Watchlist[[#This Row],[Action]]="Delete","N","Y"))</f>
        <v/>
      </c>
    </row>
    <row r="38" spans="4:22" x14ac:dyDescent="0.5">
      <c r="D38">
        <f ca="1">IF(Watchlist[[#This Row],[Grade]]="",Watchlist[[#This Row],[Grade history]],CONCATENATE(TEXT(TODAY(),"yyyy-mm-dd"),": ",Watchlist[[#This Row],[Grade]],". ",,Watchlist[[#This Row],[Grade history]]))</f>
        <v>0</v>
      </c>
      <c r="E38">
        <v>0</v>
      </c>
      <c r="G38">
        <f ca="1">IF(Watchlist[[#This Row],[Price]]="",Watchlist[[#This Row],[Price history]],CONCATENATE(TEXT(TODAY(),"yyyy-mm-dd"),": ",Watchlist[[#This Row],[Price]],". ",,Watchlist[[#This Row],[Price history]]))</f>
        <v>0</v>
      </c>
      <c r="H38">
        <v>0</v>
      </c>
      <c r="K38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38" s="1">
        <v>0</v>
      </c>
      <c r="M38" s="1"/>
      <c r="N38" s="1"/>
      <c r="O38" s="1"/>
      <c r="P38" s="1"/>
      <c r="Q38" s="44"/>
      <c r="R38" s="44"/>
      <c r="S38" s="1"/>
      <c r="T38" s="1">
        <f ca="1">IF(Watchlist[[#This Row],[Note]]="",Watchlist[[#This Row],[Note History]],CONCATENATE(TEXT(TODAY(),"yyyy-mm-dd"),": ",Watchlist[[#This Row],[Note]],". ",,Watchlist[[#This Row],[Note History]]))</f>
        <v>0</v>
      </c>
      <c r="U38">
        <v>0</v>
      </c>
      <c r="V38" t="str">
        <f>IF(Watchlist[[#This Row],[Ticker ]]="","",IF(Watchlist[[#This Row],[Action]]="Delete","N","Y"))</f>
        <v/>
      </c>
    </row>
    <row r="39" spans="4:22" x14ac:dyDescent="0.5">
      <c r="D39">
        <f ca="1">IF(Watchlist[[#This Row],[Grade]]="",Watchlist[[#This Row],[Grade history]],CONCATENATE(TEXT(TODAY(),"yyyy-mm-dd"),": ",Watchlist[[#This Row],[Grade]],". ",,Watchlist[[#This Row],[Grade history]]))</f>
        <v>0</v>
      </c>
      <c r="E39">
        <v>0</v>
      </c>
      <c r="G39">
        <f ca="1">IF(Watchlist[[#This Row],[Price]]="",Watchlist[[#This Row],[Price history]],CONCATENATE(TEXT(TODAY(),"yyyy-mm-dd"),": ",Watchlist[[#This Row],[Price]],". ",,Watchlist[[#This Row],[Price history]]))</f>
        <v>0</v>
      </c>
      <c r="H39">
        <v>0</v>
      </c>
      <c r="K39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39" s="1">
        <v>0</v>
      </c>
      <c r="M39" s="1"/>
      <c r="N39" s="1"/>
      <c r="O39" s="1"/>
      <c r="P39" s="1"/>
      <c r="Q39" s="44"/>
      <c r="R39" s="44"/>
      <c r="S39" s="1"/>
      <c r="T39" s="1">
        <f ca="1">IF(Watchlist[[#This Row],[Note]]="",Watchlist[[#This Row],[Note History]],CONCATENATE(TEXT(TODAY(),"yyyy-mm-dd"),": ",Watchlist[[#This Row],[Note]],". ",,Watchlist[[#This Row],[Note History]]))</f>
        <v>0</v>
      </c>
      <c r="U39">
        <v>0</v>
      </c>
      <c r="V39" t="str">
        <f>IF(Watchlist[[#This Row],[Ticker ]]="","",IF(Watchlist[[#This Row],[Action]]="Delete","N","Y"))</f>
        <v/>
      </c>
    </row>
    <row r="40" spans="4:22" x14ac:dyDescent="0.5">
      <c r="D40">
        <f ca="1">IF(Watchlist[[#This Row],[Grade]]="",Watchlist[[#This Row],[Grade history]],CONCATENATE(TEXT(TODAY(),"yyyy-mm-dd"),": ",Watchlist[[#This Row],[Grade]],". ",,Watchlist[[#This Row],[Grade history]]))</f>
        <v>0</v>
      </c>
      <c r="E40">
        <v>0</v>
      </c>
      <c r="G40">
        <f ca="1">IF(Watchlist[[#This Row],[Price]]="",Watchlist[[#This Row],[Price history]],CONCATENATE(TEXT(TODAY(),"yyyy-mm-dd"),": ",Watchlist[[#This Row],[Price]],". ",,Watchlist[[#This Row],[Price history]]))</f>
        <v>0</v>
      </c>
      <c r="H40">
        <v>0</v>
      </c>
      <c r="K40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40" s="1">
        <v>0</v>
      </c>
      <c r="M40" s="1"/>
      <c r="N40" s="1"/>
      <c r="O40" s="1"/>
      <c r="P40" s="1"/>
      <c r="Q40" s="44"/>
      <c r="R40" s="44"/>
      <c r="S40" s="1"/>
      <c r="T40" s="1">
        <f ca="1">IF(Watchlist[[#This Row],[Note]]="",Watchlist[[#This Row],[Note History]],CONCATENATE(TEXT(TODAY(),"yyyy-mm-dd"),": ",Watchlist[[#This Row],[Note]],". ",,Watchlist[[#This Row],[Note History]]))</f>
        <v>0</v>
      </c>
      <c r="U40">
        <v>0</v>
      </c>
      <c r="V40" t="str">
        <f>IF(Watchlist[[#This Row],[Ticker ]]="","",IF(Watchlist[[#This Row],[Action]]="Delete","N","Y"))</f>
        <v/>
      </c>
    </row>
    <row r="41" spans="4:22" x14ac:dyDescent="0.5">
      <c r="D41">
        <f ca="1">IF(Watchlist[[#This Row],[Grade]]="",Watchlist[[#This Row],[Grade history]],CONCATENATE(TEXT(TODAY(),"yyyy-mm-dd"),": ",Watchlist[[#This Row],[Grade]],". ",,Watchlist[[#This Row],[Grade history]]))</f>
        <v>0</v>
      </c>
      <c r="E41">
        <v>0</v>
      </c>
      <c r="G41">
        <f ca="1">IF(Watchlist[[#This Row],[Price]]="",Watchlist[[#This Row],[Price history]],CONCATENATE(TEXT(TODAY(),"yyyy-mm-dd"),": ",Watchlist[[#This Row],[Price]],". ",,Watchlist[[#This Row],[Price history]]))</f>
        <v>0</v>
      </c>
      <c r="H41">
        <v>0</v>
      </c>
      <c r="K41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41" s="1">
        <v>0</v>
      </c>
      <c r="M41" s="1"/>
      <c r="N41" s="1"/>
      <c r="O41" s="1"/>
      <c r="P41" s="1"/>
      <c r="Q41" s="44"/>
      <c r="R41" s="44"/>
      <c r="S41" s="1"/>
      <c r="T41" s="1">
        <f ca="1">IF(Watchlist[[#This Row],[Note]]="",Watchlist[[#This Row],[Note History]],CONCATENATE(TEXT(TODAY(),"yyyy-mm-dd"),": ",Watchlist[[#This Row],[Note]],". ",,Watchlist[[#This Row],[Note History]]))</f>
        <v>0</v>
      </c>
      <c r="U41">
        <v>0</v>
      </c>
      <c r="V41" t="str">
        <f>IF(Watchlist[[#This Row],[Ticker ]]="","",IF(Watchlist[[#This Row],[Action]]="Delete","N","Y"))</f>
        <v/>
      </c>
    </row>
    <row r="42" spans="4:22" x14ac:dyDescent="0.5">
      <c r="D42">
        <f ca="1">IF(Watchlist[[#This Row],[Grade]]="",Watchlist[[#This Row],[Grade history]],CONCATENATE(TEXT(TODAY(),"yyyy-mm-dd"),": ",Watchlist[[#This Row],[Grade]],". ",,Watchlist[[#This Row],[Grade history]]))</f>
        <v>0</v>
      </c>
      <c r="E42">
        <v>0</v>
      </c>
      <c r="G42">
        <f ca="1">IF(Watchlist[[#This Row],[Price]]="",Watchlist[[#This Row],[Price history]],CONCATENATE(TEXT(TODAY(),"yyyy-mm-dd"),": ",Watchlist[[#This Row],[Price]],". ",,Watchlist[[#This Row],[Price history]]))</f>
        <v>0</v>
      </c>
      <c r="H42">
        <v>0</v>
      </c>
      <c r="K42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42" s="1">
        <v>0</v>
      </c>
      <c r="M42" s="1"/>
      <c r="N42" s="1"/>
      <c r="O42" s="1"/>
      <c r="P42" s="1"/>
      <c r="Q42" s="44"/>
      <c r="R42" s="44"/>
      <c r="S42" s="1"/>
      <c r="T42" s="1">
        <f ca="1">IF(Watchlist[[#This Row],[Note]]="",Watchlist[[#This Row],[Note History]],CONCATENATE(TEXT(TODAY(),"yyyy-mm-dd"),": ",Watchlist[[#This Row],[Note]],". ",,Watchlist[[#This Row],[Note History]]))</f>
        <v>0</v>
      </c>
      <c r="U42">
        <v>0</v>
      </c>
      <c r="V42" t="str">
        <f>IF(Watchlist[[#This Row],[Ticker ]]="","",IF(Watchlist[[#This Row],[Action]]="Delete","N","Y"))</f>
        <v/>
      </c>
    </row>
    <row r="43" spans="4:22" x14ac:dyDescent="0.5">
      <c r="D43">
        <f ca="1">IF(Watchlist[[#This Row],[Grade]]="",Watchlist[[#This Row],[Grade history]],CONCATENATE(TEXT(TODAY(),"yyyy-mm-dd"),": ",Watchlist[[#This Row],[Grade]],". ",,Watchlist[[#This Row],[Grade history]]))</f>
        <v>0</v>
      </c>
      <c r="E43">
        <v>0</v>
      </c>
      <c r="G43">
        <f ca="1">IF(Watchlist[[#This Row],[Price]]="",Watchlist[[#This Row],[Price history]],CONCATENATE(TEXT(TODAY(),"yyyy-mm-dd"),": ",Watchlist[[#This Row],[Price]],". ",,Watchlist[[#This Row],[Price history]]))</f>
        <v>0</v>
      </c>
      <c r="H43">
        <v>0</v>
      </c>
      <c r="K43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43" s="1">
        <v>0</v>
      </c>
      <c r="M43" s="1"/>
      <c r="N43" s="1"/>
      <c r="O43" s="1"/>
      <c r="P43" s="1"/>
      <c r="Q43" s="44"/>
      <c r="R43" s="44"/>
      <c r="S43" s="1"/>
      <c r="T43" s="1">
        <f ca="1">IF(Watchlist[[#This Row],[Note]]="",Watchlist[[#This Row],[Note History]],CONCATENATE(TEXT(TODAY(),"yyyy-mm-dd"),": ",Watchlist[[#This Row],[Note]],". ",,Watchlist[[#This Row],[Note History]]))</f>
        <v>0</v>
      </c>
      <c r="U43">
        <v>0</v>
      </c>
      <c r="V43" t="str">
        <f>IF(Watchlist[[#This Row],[Ticker ]]="","",IF(Watchlist[[#This Row],[Action]]="Delete","N","Y"))</f>
        <v/>
      </c>
    </row>
    <row r="44" spans="4:22" x14ac:dyDescent="0.5">
      <c r="D44">
        <f ca="1">IF(Watchlist[[#This Row],[Grade]]="",Watchlist[[#This Row],[Grade history]],CONCATENATE(TEXT(TODAY(),"yyyy-mm-dd"),": ",Watchlist[[#This Row],[Grade]],". ",,Watchlist[[#This Row],[Grade history]]))</f>
        <v>0</v>
      </c>
      <c r="E44">
        <v>0</v>
      </c>
      <c r="G44">
        <f ca="1">IF(Watchlist[[#This Row],[Price]]="",Watchlist[[#This Row],[Price history]],CONCATENATE(TEXT(TODAY(),"yyyy-mm-dd"),": ",Watchlist[[#This Row],[Price]],". ",,Watchlist[[#This Row],[Price history]]))</f>
        <v>0</v>
      </c>
      <c r="H44">
        <v>0</v>
      </c>
      <c r="K44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44" s="1">
        <v>0</v>
      </c>
      <c r="M44" s="1"/>
      <c r="N44" s="1"/>
      <c r="O44" s="1"/>
      <c r="P44" s="1"/>
      <c r="Q44" s="44"/>
      <c r="R44" s="44"/>
      <c r="S44" s="1"/>
      <c r="T44" s="1">
        <f ca="1">IF(Watchlist[[#This Row],[Note]]="",Watchlist[[#This Row],[Note History]],CONCATENATE(TEXT(TODAY(),"yyyy-mm-dd"),": ",Watchlist[[#This Row],[Note]],". ",,Watchlist[[#This Row],[Note History]]))</f>
        <v>0</v>
      </c>
      <c r="U44">
        <v>0</v>
      </c>
      <c r="V44" t="str">
        <f>IF(Watchlist[[#This Row],[Ticker ]]="","",IF(Watchlist[[#This Row],[Action]]="Delete","N","Y"))</f>
        <v/>
      </c>
    </row>
    <row r="45" spans="4:22" x14ac:dyDescent="0.5">
      <c r="D45">
        <f ca="1">IF(Watchlist[[#This Row],[Grade]]="",Watchlist[[#This Row],[Grade history]],CONCATENATE(TEXT(TODAY(),"yyyy-mm-dd"),": ",Watchlist[[#This Row],[Grade]],". ",,Watchlist[[#This Row],[Grade history]]))</f>
        <v>0</v>
      </c>
      <c r="E45">
        <v>0</v>
      </c>
      <c r="G45">
        <f ca="1">IF(Watchlist[[#This Row],[Price]]="",Watchlist[[#This Row],[Price history]],CONCATENATE(TEXT(TODAY(),"yyyy-mm-dd"),": ",Watchlist[[#This Row],[Price]],". ",,Watchlist[[#This Row],[Price history]]))</f>
        <v>0</v>
      </c>
      <c r="H45">
        <v>0</v>
      </c>
      <c r="K45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45" s="1">
        <v>0</v>
      </c>
      <c r="M45" s="1"/>
      <c r="N45" s="1"/>
      <c r="O45" s="1"/>
      <c r="P45" s="1"/>
      <c r="Q45" s="44"/>
      <c r="R45" s="44"/>
      <c r="S45" s="1"/>
      <c r="T45" s="1">
        <f ca="1">IF(Watchlist[[#This Row],[Note]]="",Watchlist[[#This Row],[Note History]],CONCATENATE(TEXT(TODAY(),"yyyy-mm-dd"),": ",Watchlist[[#This Row],[Note]],". ",,Watchlist[[#This Row],[Note History]]))</f>
        <v>0</v>
      </c>
      <c r="U45">
        <v>0</v>
      </c>
      <c r="V45" t="str">
        <f>IF(Watchlist[[#This Row],[Ticker ]]="","",IF(Watchlist[[#This Row],[Action]]="Delete","N","Y"))</f>
        <v/>
      </c>
    </row>
    <row r="46" spans="4:22" x14ac:dyDescent="0.5">
      <c r="D46">
        <f ca="1">IF(Watchlist[[#This Row],[Grade]]="",Watchlist[[#This Row],[Grade history]],CONCATENATE(TEXT(TODAY(),"yyyy-mm-dd"),": ",Watchlist[[#This Row],[Grade]],". ",,Watchlist[[#This Row],[Grade history]]))</f>
        <v>0</v>
      </c>
      <c r="E46">
        <v>0</v>
      </c>
      <c r="G46">
        <f ca="1">IF(Watchlist[[#This Row],[Price]]="",Watchlist[[#This Row],[Price history]],CONCATENATE(TEXT(TODAY(),"yyyy-mm-dd"),": ",Watchlist[[#This Row],[Price]],". ",,Watchlist[[#This Row],[Price history]]))</f>
        <v>0</v>
      </c>
      <c r="H46">
        <v>0</v>
      </c>
      <c r="K46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46" s="1">
        <v>0</v>
      </c>
      <c r="M46" s="1"/>
      <c r="N46" s="1"/>
      <c r="O46" s="1"/>
      <c r="P46" s="1"/>
      <c r="Q46" s="44"/>
      <c r="R46" s="44"/>
      <c r="S46" s="1"/>
      <c r="T46" s="1">
        <f ca="1">IF(Watchlist[[#This Row],[Note]]="",Watchlist[[#This Row],[Note History]],CONCATENATE(TEXT(TODAY(),"yyyy-mm-dd"),": ",Watchlist[[#This Row],[Note]],". ",,Watchlist[[#This Row],[Note History]]))</f>
        <v>0</v>
      </c>
      <c r="U46">
        <v>0</v>
      </c>
      <c r="V46" t="str">
        <f>IF(Watchlist[[#This Row],[Ticker ]]="","",IF(Watchlist[[#This Row],[Action]]="Delete","N","Y"))</f>
        <v/>
      </c>
    </row>
    <row r="47" spans="4:22" x14ac:dyDescent="0.5">
      <c r="D47">
        <f ca="1">IF(Watchlist[[#This Row],[Grade]]="",Watchlist[[#This Row],[Grade history]],CONCATENATE(TEXT(TODAY(),"yyyy-mm-dd"),": ",Watchlist[[#This Row],[Grade]],". ",,Watchlist[[#This Row],[Grade history]]))</f>
        <v>0</v>
      </c>
      <c r="E47">
        <v>0</v>
      </c>
      <c r="G47">
        <f ca="1">IF(Watchlist[[#This Row],[Price]]="",Watchlist[[#This Row],[Price history]],CONCATENATE(TEXT(TODAY(),"yyyy-mm-dd"),": ",Watchlist[[#This Row],[Price]],". ",,Watchlist[[#This Row],[Price history]]))</f>
        <v>0</v>
      </c>
      <c r="H47">
        <v>0</v>
      </c>
      <c r="K47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47" s="1">
        <v>0</v>
      </c>
      <c r="M47" s="1"/>
      <c r="N47" s="1"/>
      <c r="O47" s="1"/>
      <c r="P47" s="1"/>
      <c r="Q47" s="44"/>
      <c r="R47" s="44"/>
      <c r="S47" s="1"/>
      <c r="T47" s="1">
        <f ca="1">IF(Watchlist[[#This Row],[Note]]="",Watchlist[[#This Row],[Note History]],CONCATENATE(TEXT(TODAY(),"yyyy-mm-dd"),": ",Watchlist[[#This Row],[Note]],". ",,Watchlist[[#This Row],[Note History]]))</f>
        <v>0</v>
      </c>
      <c r="U47">
        <v>0</v>
      </c>
      <c r="V47" t="str">
        <f>IF(Watchlist[[#This Row],[Ticker ]]="","",IF(Watchlist[[#This Row],[Action]]="Delete","N","Y"))</f>
        <v/>
      </c>
    </row>
    <row r="48" spans="4:22" x14ac:dyDescent="0.5">
      <c r="D48">
        <f ca="1">IF(Watchlist[[#This Row],[Grade]]="",Watchlist[[#This Row],[Grade history]],CONCATENATE(TEXT(TODAY(),"yyyy-mm-dd"),": ",Watchlist[[#This Row],[Grade]],". ",,Watchlist[[#This Row],[Grade history]]))</f>
        <v>0</v>
      </c>
      <c r="E48">
        <v>0</v>
      </c>
      <c r="G48">
        <f ca="1">IF(Watchlist[[#This Row],[Price]]="",Watchlist[[#This Row],[Price history]],CONCATENATE(TEXT(TODAY(),"yyyy-mm-dd"),": ",Watchlist[[#This Row],[Price]],". ",,Watchlist[[#This Row],[Price history]]))</f>
        <v>0</v>
      </c>
      <c r="H48">
        <v>0</v>
      </c>
      <c r="K48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48" s="1">
        <v>0</v>
      </c>
      <c r="M48" s="1"/>
      <c r="N48" s="1"/>
      <c r="O48" s="1"/>
      <c r="P48" s="1"/>
      <c r="Q48" s="44"/>
      <c r="R48" s="44"/>
      <c r="S48" s="1"/>
      <c r="T48" s="1">
        <f ca="1">IF(Watchlist[[#This Row],[Note]]="",Watchlist[[#This Row],[Note History]],CONCATENATE(TEXT(TODAY(),"yyyy-mm-dd"),": ",Watchlist[[#This Row],[Note]],". ",,Watchlist[[#This Row],[Note History]]))</f>
        <v>0</v>
      </c>
      <c r="U48">
        <v>0</v>
      </c>
      <c r="V48" t="str">
        <f>IF(Watchlist[[#This Row],[Ticker ]]="","",IF(Watchlist[[#This Row],[Action]]="Delete","N","Y"))</f>
        <v/>
      </c>
    </row>
    <row r="49" spans="4:22" x14ac:dyDescent="0.5">
      <c r="D49">
        <f ca="1">IF(Watchlist[[#This Row],[Grade]]="",Watchlist[[#This Row],[Grade history]],CONCATENATE(TEXT(TODAY(),"yyyy-mm-dd"),": ",Watchlist[[#This Row],[Grade]],". ",,Watchlist[[#This Row],[Grade history]]))</f>
        <v>0</v>
      </c>
      <c r="E49">
        <v>0</v>
      </c>
      <c r="G49">
        <f ca="1">IF(Watchlist[[#This Row],[Price]]="",Watchlist[[#This Row],[Price history]],CONCATENATE(TEXT(TODAY(),"yyyy-mm-dd"),": ",Watchlist[[#This Row],[Price]],". ",,Watchlist[[#This Row],[Price history]]))</f>
        <v>0</v>
      </c>
      <c r="H49">
        <v>0</v>
      </c>
      <c r="K49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49" s="1">
        <v>0</v>
      </c>
      <c r="M49" s="1"/>
      <c r="N49" s="1"/>
      <c r="O49" s="1"/>
      <c r="P49" s="1"/>
      <c r="Q49" s="44"/>
      <c r="R49" s="44"/>
      <c r="S49" s="1"/>
      <c r="T49" s="1">
        <f ca="1">IF(Watchlist[[#This Row],[Note]]="",Watchlist[[#This Row],[Note History]],CONCATENATE(TEXT(TODAY(),"yyyy-mm-dd"),": ",Watchlist[[#This Row],[Note]],". ",,Watchlist[[#This Row],[Note History]]))</f>
        <v>0</v>
      </c>
      <c r="U49">
        <v>0</v>
      </c>
      <c r="V49" t="str">
        <f>IF(Watchlist[[#This Row],[Ticker ]]="","",IF(Watchlist[[#This Row],[Action]]="Delete","N","Y"))</f>
        <v/>
      </c>
    </row>
    <row r="50" spans="4:22" x14ac:dyDescent="0.5">
      <c r="D50">
        <f ca="1">IF(Watchlist[[#This Row],[Grade]]="",Watchlist[[#This Row],[Grade history]],CONCATENATE(TEXT(TODAY(),"yyyy-mm-dd"),": ",Watchlist[[#This Row],[Grade]],". ",,Watchlist[[#This Row],[Grade history]]))</f>
        <v>0</v>
      </c>
      <c r="E50">
        <v>0</v>
      </c>
      <c r="G50">
        <f ca="1">IF(Watchlist[[#This Row],[Price]]="",Watchlist[[#This Row],[Price history]],CONCATENATE(TEXT(TODAY(),"yyyy-mm-dd"),": ",Watchlist[[#This Row],[Price]],". ",,Watchlist[[#This Row],[Price history]]))</f>
        <v>0</v>
      </c>
      <c r="H50">
        <v>0</v>
      </c>
      <c r="K50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50" s="1">
        <v>0</v>
      </c>
      <c r="M50" s="1"/>
      <c r="N50" s="1"/>
      <c r="O50" s="1"/>
      <c r="P50" s="1"/>
      <c r="Q50" s="44"/>
      <c r="R50" s="44"/>
      <c r="S50" s="1"/>
      <c r="T50" s="1">
        <f ca="1">IF(Watchlist[[#This Row],[Note]]="",Watchlist[[#This Row],[Note History]],CONCATENATE(TEXT(TODAY(),"yyyy-mm-dd"),": ",Watchlist[[#This Row],[Note]],". ",,Watchlist[[#This Row],[Note History]]))</f>
        <v>0</v>
      </c>
      <c r="U50">
        <v>0</v>
      </c>
      <c r="V50" t="str">
        <f>IF(Watchlist[[#This Row],[Ticker ]]="","",IF(Watchlist[[#This Row],[Action]]="Delete","N","Y"))</f>
        <v/>
      </c>
    </row>
    <row r="51" spans="4:22" x14ac:dyDescent="0.5">
      <c r="D51">
        <f ca="1">IF(Watchlist[[#This Row],[Grade]]="",Watchlist[[#This Row],[Grade history]],CONCATENATE(TEXT(TODAY(),"yyyy-mm-dd"),": ",Watchlist[[#This Row],[Grade]],". ",,Watchlist[[#This Row],[Grade history]]))</f>
        <v>0</v>
      </c>
      <c r="E51">
        <v>0</v>
      </c>
      <c r="G51">
        <f ca="1">IF(Watchlist[[#This Row],[Price]]="",Watchlist[[#This Row],[Price history]],CONCATENATE(TEXT(TODAY(),"yyyy-mm-dd"),": ",Watchlist[[#This Row],[Price]],". ",,Watchlist[[#This Row],[Price history]]))</f>
        <v>0</v>
      </c>
      <c r="H51">
        <v>0</v>
      </c>
      <c r="K51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51" s="1">
        <v>0</v>
      </c>
      <c r="M51" s="1"/>
      <c r="N51" s="1"/>
      <c r="O51" s="1"/>
      <c r="P51" s="1"/>
      <c r="Q51" s="44"/>
      <c r="R51" s="44"/>
      <c r="S51" s="1"/>
      <c r="T51" s="1">
        <f ca="1">IF(Watchlist[[#This Row],[Note]]="",Watchlist[[#This Row],[Note History]],CONCATENATE(TEXT(TODAY(),"yyyy-mm-dd"),": ",Watchlist[[#This Row],[Note]],". ",,Watchlist[[#This Row],[Note History]]))</f>
        <v>0</v>
      </c>
      <c r="U51">
        <v>0</v>
      </c>
      <c r="V51" t="str">
        <f>IF(Watchlist[[#This Row],[Ticker ]]="","",IF(Watchlist[[#This Row],[Action]]="Delete","N","Y"))</f>
        <v/>
      </c>
    </row>
    <row r="52" spans="4:22" x14ac:dyDescent="0.5">
      <c r="D52">
        <f ca="1">IF(Watchlist[[#This Row],[Grade]]="",Watchlist[[#This Row],[Grade history]],CONCATENATE(TEXT(TODAY(),"yyyy-mm-dd"),": ",Watchlist[[#This Row],[Grade]],". ",,Watchlist[[#This Row],[Grade history]]))</f>
        <v>0</v>
      </c>
      <c r="E52">
        <v>0</v>
      </c>
      <c r="G52">
        <f ca="1">IF(Watchlist[[#This Row],[Price]]="",Watchlist[[#This Row],[Price history]],CONCATENATE(TEXT(TODAY(),"yyyy-mm-dd"),": ",Watchlist[[#This Row],[Price]],". ",,Watchlist[[#This Row],[Price history]]))</f>
        <v>0</v>
      </c>
      <c r="H52">
        <v>0</v>
      </c>
      <c r="K52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52" s="1">
        <v>0</v>
      </c>
      <c r="M52" s="1"/>
      <c r="N52" s="1"/>
      <c r="O52" s="1"/>
      <c r="P52" s="1"/>
      <c r="Q52" s="44"/>
      <c r="R52" s="44"/>
      <c r="S52" s="1"/>
      <c r="T52" s="1">
        <f ca="1">IF(Watchlist[[#This Row],[Note]]="",Watchlist[[#This Row],[Note History]],CONCATENATE(TEXT(TODAY(),"yyyy-mm-dd"),": ",Watchlist[[#This Row],[Note]],". ",,Watchlist[[#This Row],[Note History]]))</f>
        <v>0</v>
      </c>
      <c r="U52">
        <v>0</v>
      </c>
      <c r="V52" t="str">
        <f>IF(Watchlist[[#This Row],[Ticker ]]="","",IF(Watchlist[[#This Row],[Action]]="Delete","N","Y"))</f>
        <v/>
      </c>
    </row>
    <row r="53" spans="4:22" x14ac:dyDescent="0.5">
      <c r="D53">
        <f ca="1">IF(Watchlist[[#This Row],[Grade]]="",Watchlist[[#This Row],[Grade history]],CONCATENATE(TEXT(TODAY(),"yyyy-mm-dd"),": ",Watchlist[[#This Row],[Grade]],". ",,Watchlist[[#This Row],[Grade history]]))</f>
        <v>0</v>
      </c>
      <c r="E53">
        <v>0</v>
      </c>
      <c r="G53">
        <f ca="1">IF(Watchlist[[#This Row],[Price]]="",Watchlist[[#This Row],[Price history]],CONCATENATE(TEXT(TODAY(),"yyyy-mm-dd"),": ",Watchlist[[#This Row],[Price]],". ",,Watchlist[[#This Row],[Price history]]))</f>
        <v>0</v>
      </c>
      <c r="H53">
        <v>0</v>
      </c>
      <c r="K53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53" s="1">
        <v>0</v>
      </c>
      <c r="M53" s="1"/>
      <c r="N53" s="1"/>
      <c r="O53" s="1"/>
      <c r="P53" s="1"/>
      <c r="Q53" s="44"/>
      <c r="R53" s="44"/>
      <c r="S53" s="1"/>
      <c r="T53" s="1">
        <f ca="1">IF(Watchlist[[#This Row],[Note]]="",Watchlist[[#This Row],[Note History]],CONCATENATE(TEXT(TODAY(),"yyyy-mm-dd"),": ",Watchlist[[#This Row],[Note]],". ",,Watchlist[[#This Row],[Note History]]))</f>
        <v>0</v>
      </c>
      <c r="U53">
        <v>0</v>
      </c>
      <c r="V53" t="str">
        <f>IF(Watchlist[[#This Row],[Ticker ]]="","",IF(Watchlist[[#This Row],[Action]]="Delete","N","Y"))</f>
        <v/>
      </c>
    </row>
    <row r="54" spans="4:22" x14ac:dyDescent="0.5">
      <c r="D54">
        <f ca="1">IF(Watchlist[[#This Row],[Grade]]="",Watchlist[[#This Row],[Grade history]],CONCATENATE(TEXT(TODAY(),"yyyy-mm-dd"),": ",Watchlist[[#This Row],[Grade]],". ",,Watchlist[[#This Row],[Grade history]]))</f>
        <v>0</v>
      </c>
      <c r="E54">
        <v>0</v>
      </c>
      <c r="G54">
        <f ca="1">IF(Watchlist[[#This Row],[Price]]="",Watchlist[[#This Row],[Price history]],CONCATENATE(TEXT(TODAY(),"yyyy-mm-dd"),": ",Watchlist[[#This Row],[Price]],". ",,Watchlist[[#This Row],[Price history]]))</f>
        <v>0</v>
      </c>
      <c r="H54">
        <v>0</v>
      </c>
      <c r="K54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54" s="1">
        <v>0</v>
      </c>
      <c r="M54" s="1"/>
      <c r="N54" s="1"/>
      <c r="O54" s="1"/>
      <c r="P54" s="1"/>
      <c r="Q54" s="44"/>
      <c r="R54" s="44"/>
      <c r="S54" s="1"/>
      <c r="T54" s="1">
        <f ca="1">IF(Watchlist[[#This Row],[Note]]="",Watchlist[[#This Row],[Note History]],CONCATENATE(TEXT(TODAY(),"yyyy-mm-dd"),": ",Watchlist[[#This Row],[Note]],". ",,Watchlist[[#This Row],[Note History]]))</f>
        <v>0</v>
      </c>
      <c r="U54">
        <v>0</v>
      </c>
      <c r="V54" t="str">
        <f>IF(Watchlist[[#This Row],[Ticker ]]="","",IF(Watchlist[[#This Row],[Action]]="Delete","N","Y"))</f>
        <v/>
      </c>
    </row>
    <row r="55" spans="4:22" x14ac:dyDescent="0.5">
      <c r="D55">
        <f ca="1">IF(Watchlist[[#This Row],[Grade]]="",Watchlist[[#This Row],[Grade history]],CONCATENATE(TEXT(TODAY(),"yyyy-mm-dd"),": ",Watchlist[[#This Row],[Grade]],". ",,Watchlist[[#This Row],[Grade history]]))</f>
        <v>0</v>
      </c>
      <c r="E55">
        <v>0</v>
      </c>
      <c r="G55">
        <f ca="1">IF(Watchlist[[#This Row],[Price]]="",Watchlist[[#This Row],[Price history]],CONCATENATE(TEXT(TODAY(),"yyyy-mm-dd"),": ",Watchlist[[#This Row],[Price]],". ",,Watchlist[[#This Row],[Price history]]))</f>
        <v>0</v>
      </c>
      <c r="H55">
        <v>0</v>
      </c>
      <c r="K55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55" s="1">
        <v>0</v>
      </c>
      <c r="M55" s="1"/>
      <c r="N55" s="1"/>
      <c r="O55" s="1"/>
      <c r="P55" s="1"/>
      <c r="Q55" s="44"/>
      <c r="R55" s="44"/>
      <c r="S55" s="1"/>
      <c r="T55" s="1">
        <f ca="1">IF(Watchlist[[#This Row],[Note]]="",Watchlist[[#This Row],[Note History]],CONCATENATE(TEXT(TODAY(),"yyyy-mm-dd"),": ",Watchlist[[#This Row],[Note]],". ",,Watchlist[[#This Row],[Note History]]))</f>
        <v>0</v>
      </c>
      <c r="U55">
        <v>0</v>
      </c>
      <c r="V55" t="str">
        <f>IF(Watchlist[[#This Row],[Ticker ]]="","",IF(Watchlist[[#This Row],[Action]]="Delete","N","Y"))</f>
        <v/>
      </c>
    </row>
    <row r="56" spans="4:22" x14ac:dyDescent="0.5">
      <c r="D56">
        <f ca="1">IF(Watchlist[[#This Row],[Grade]]="",Watchlist[[#This Row],[Grade history]],CONCATENATE(TEXT(TODAY(),"yyyy-mm-dd"),": ",Watchlist[[#This Row],[Grade]],". ",,Watchlist[[#This Row],[Grade history]]))</f>
        <v>0</v>
      </c>
      <c r="E56">
        <v>0</v>
      </c>
      <c r="G56">
        <f ca="1">IF(Watchlist[[#This Row],[Price]]="",Watchlist[[#This Row],[Price history]],CONCATENATE(TEXT(TODAY(),"yyyy-mm-dd"),": ",Watchlist[[#This Row],[Price]],". ",,Watchlist[[#This Row],[Price history]]))</f>
        <v>0</v>
      </c>
      <c r="H56">
        <v>0</v>
      </c>
      <c r="K56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56" s="1">
        <v>0</v>
      </c>
      <c r="M56" s="1"/>
      <c r="N56" s="1"/>
      <c r="O56" s="1"/>
      <c r="P56" s="1"/>
      <c r="Q56" s="44"/>
      <c r="R56" s="44"/>
      <c r="S56" s="1"/>
      <c r="T56" s="1">
        <f ca="1">IF(Watchlist[[#This Row],[Note]]="",Watchlist[[#This Row],[Note History]],CONCATENATE(TEXT(TODAY(),"yyyy-mm-dd"),": ",Watchlist[[#This Row],[Note]],". ",,Watchlist[[#This Row],[Note History]]))</f>
        <v>0</v>
      </c>
      <c r="U56">
        <v>0</v>
      </c>
      <c r="V56" t="str">
        <f>IF(Watchlist[[#This Row],[Ticker ]]="","",IF(Watchlist[[#This Row],[Action]]="Delete","N","Y"))</f>
        <v/>
      </c>
    </row>
    <row r="57" spans="4:22" x14ac:dyDescent="0.5">
      <c r="D57">
        <f ca="1">IF(Watchlist[[#This Row],[Grade]]="",Watchlist[[#This Row],[Grade history]],CONCATENATE(TEXT(TODAY(),"yyyy-mm-dd"),": ",Watchlist[[#This Row],[Grade]],". ",,Watchlist[[#This Row],[Grade history]]))</f>
        <v>0</v>
      </c>
      <c r="E57">
        <v>0</v>
      </c>
      <c r="G57">
        <f ca="1">IF(Watchlist[[#This Row],[Price]]="",Watchlist[[#This Row],[Price history]],CONCATENATE(TEXT(TODAY(),"yyyy-mm-dd"),": ",Watchlist[[#This Row],[Price]],". ",,Watchlist[[#This Row],[Price history]]))</f>
        <v>0</v>
      </c>
      <c r="H57">
        <v>0</v>
      </c>
      <c r="K57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57" s="1">
        <v>0</v>
      </c>
      <c r="M57" s="1"/>
      <c r="N57" s="1"/>
      <c r="O57" s="1"/>
      <c r="P57" s="1"/>
      <c r="Q57" s="44"/>
      <c r="R57" s="44"/>
      <c r="S57" s="1"/>
      <c r="T57" s="1">
        <f ca="1">IF(Watchlist[[#This Row],[Note]]="",Watchlist[[#This Row],[Note History]],CONCATENATE(TEXT(TODAY(),"yyyy-mm-dd"),": ",Watchlist[[#This Row],[Note]],". ",,Watchlist[[#This Row],[Note History]]))</f>
        <v>0</v>
      </c>
      <c r="U57">
        <v>0</v>
      </c>
      <c r="V57" t="str">
        <f>IF(Watchlist[[#This Row],[Ticker ]]="","",IF(Watchlist[[#This Row],[Action]]="Delete","N","Y"))</f>
        <v/>
      </c>
    </row>
    <row r="58" spans="4:22" x14ac:dyDescent="0.5">
      <c r="D58">
        <f ca="1">IF(Watchlist[[#This Row],[Grade]]="",Watchlist[[#This Row],[Grade history]],CONCATENATE(TEXT(TODAY(),"yyyy-mm-dd"),": ",Watchlist[[#This Row],[Grade]],". ",,Watchlist[[#This Row],[Grade history]]))</f>
        <v>0</v>
      </c>
      <c r="E58">
        <v>0</v>
      </c>
      <c r="G58">
        <f ca="1">IF(Watchlist[[#This Row],[Price]]="",Watchlist[[#This Row],[Price history]],CONCATENATE(TEXT(TODAY(),"yyyy-mm-dd"),": ",Watchlist[[#This Row],[Price]],". ",,Watchlist[[#This Row],[Price history]]))</f>
        <v>0</v>
      </c>
      <c r="H58">
        <v>0</v>
      </c>
      <c r="K58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58" s="1">
        <v>0</v>
      </c>
      <c r="M58" s="1"/>
      <c r="N58" s="1"/>
      <c r="O58" s="1"/>
      <c r="P58" s="1"/>
      <c r="Q58" s="44"/>
      <c r="R58" s="44"/>
      <c r="S58" s="1"/>
      <c r="T58" s="1">
        <f ca="1">IF(Watchlist[[#This Row],[Note]]="",Watchlist[[#This Row],[Note History]],CONCATENATE(TEXT(TODAY(),"yyyy-mm-dd"),": ",Watchlist[[#This Row],[Note]],". ",,Watchlist[[#This Row],[Note History]]))</f>
        <v>0</v>
      </c>
      <c r="U58">
        <v>0</v>
      </c>
      <c r="V58" t="str">
        <f>IF(Watchlist[[#This Row],[Ticker ]]="","",IF(Watchlist[[#This Row],[Action]]="Delete","N","Y"))</f>
        <v/>
      </c>
    </row>
    <row r="59" spans="4:22" x14ac:dyDescent="0.5">
      <c r="D59">
        <f ca="1">IF(Watchlist[[#This Row],[Grade]]="",Watchlist[[#This Row],[Grade history]],CONCATENATE(TEXT(TODAY(),"yyyy-mm-dd"),": ",Watchlist[[#This Row],[Grade]],". ",,Watchlist[[#This Row],[Grade history]]))</f>
        <v>0</v>
      </c>
      <c r="E59">
        <v>0</v>
      </c>
      <c r="G59">
        <f ca="1">IF(Watchlist[[#This Row],[Price]]="",Watchlist[[#This Row],[Price history]],CONCATENATE(TEXT(TODAY(),"yyyy-mm-dd"),": ",Watchlist[[#This Row],[Price]],". ",,Watchlist[[#This Row],[Price history]]))</f>
        <v>0</v>
      </c>
      <c r="H59">
        <v>0</v>
      </c>
      <c r="K59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59" s="1">
        <v>0</v>
      </c>
      <c r="M59" s="1"/>
      <c r="N59" s="1"/>
      <c r="O59" s="1"/>
      <c r="P59" s="1"/>
      <c r="Q59" s="44"/>
      <c r="R59" s="44"/>
      <c r="S59" s="1"/>
      <c r="T59" s="1">
        <f ca="1">IF(Watchlist[[#This Row],[Note]]="",Watchlist[[#This Row],[Note History]],CONCATENATE(TEXT(TODAY(),"yyyy-mm-dd"),": ",Watchlist[[#This Row],[Note]],". ",,Watchlist[[#This Row],[Note History]]))</f>
        <v>0</v>
      </c>
      <c r="U59">
        <v>0</v>
      </c>
      <c r="V59" t="str">
        <f>IF(Watchlist[[#This Row],[Ticker ]]="","",IF(Watchlist[[#This Row],[Action]]="Delete","N","Y"))</f>
        <v/>
      </c>
    </row>
    <row r="60" spans="4:22" x14ac:dyDescent="0.5">
      <c r="D60">
        <f ca="1">IF(Watchlist[[#This Row],[Grade]]="",Watchlist[[#This Row],[Grade history]],CONCATENATE(TEXT(TODAY(),"yyyy-mm-dd"),": ",Watchlist[[#This Row],[Grade]],". ",,Watchlist[[#This Row],[Grade history]]))</f>
        <v>0</v>
      </c>
      <c r="E60">
        <v>0</v>
      </c>
      <c r="G60">
        <f ca="1">IF(Watchlist[[#This Row],[Price]]="",Watchlist[[#This Row],[Price history]],CONCATENATE(TEXT(TODAY(),"yyyy-mm-dd"),": ",Watchlist[[#This Row],[Price]],". ",,Watchlist[[#This Row],[Price history]]))</f>
        <v>0</v>
      </c>
      <c r="H60">
        <v>0</v>
      </c>
      <c r="K60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60" s="1">
        <v>0</v>
      </c>
      <c r="M60" s="1"/>
      <c r="N60" s="1"/>
      <c r="O60" s="1"/>
      <c r="P60" s="1"/>
      <c r="Q60" s="44"/>
      <c r="R60" s="44"/>
      <c r="S60" s="1"/>
      <c r="T60" s="1">
        <f ca="1">IF(Watchlist[[#This Row],[Note]]="",Watchlist[[#This Row],[Note History]],CONCATENATE(TEXT(TODAY(),"yyyy-mm-dd"),": ",Watchlist[[#This Row],[Note]],". ",,Watchlist[[#This Row],[Note History]]))</f>
        <v>0</v>
      </c>
      <c r="U60">
        <v>0</v>
      </c>
      <c r="V60" t="str">
        <f>IF(Watchlist[[#This Row],[Ticker ]]="","",IF(Watchlist[[#This Row],[Action]]="Delete","N","Y"))</f>
        <v/>
      </c>
    </row>
    <row r="61" spans="4:22" x14ac:dyDescent="0.5">
      <c r="D61">
        <f ca="1">IF(Watchlist[[#This Row],[Grade]]="",Watchlist[[#This Row],[Grade history]],CONCATENATE(TEXT(TODAY(),"yyyy-mm-dd"),": ",Watchlist[[#This Row],[Grade]],". ",,Watchlist[[#This Row],[Grade history]]))</f>
        <v>0</v>
      </c>
      <c r="E61">
        <v>0</v>
      </c>
      <c r="G61">
        <f ca="1">IF(Watchlist[[#This Row],[Price]]="",Watchlist[[#This Row],[Price history]],CONCATENATE(TEXT(TODAY(),"yyyy-mm-dd"),": ",Watchlist[[#This Row],[Price]],". ",,Watchlist[[#This Row],[Price history]]))</f>
        <v>0</v>
      </c>
      <c r="H61">
        <v>0</v>
      </c>
      <c r="K61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61" s="1">
        <v>0</v>
      </c>
      <c r="M61" s="1"/>
      <c r="N61" s="1"/>
      <c r="O61" s="1"/>
      <c r="P61" s="1"/>
      <c r="Q61" s="44"/>
      <c r="R61" s="44"/>
      <c r="S61" s="1"/>
      <c r="T61" s="1">
        <f ca="1">IF(Watchlist[[#This Row],[Note]]="",Watchlist[[#This Row],[Note History]],CONCATENATE(TEXT(TODAY(),"yyyy-mm-dd"),": ",Watchlist[[#This Row],[Note]],". ",,Watchlist[[#This Row],[Note History]]))</f>
        <v>0</v>
      </c>
      <c r="U61">
        <v>0</v>
      </c>
      <c r="V61" t="str">
        <f>IF(Watchlist[[#This Row],[Ticker ]]="","",IF(Watchlist[[#This Row],[Action]]="Delete","N","Y"))</f>
        <v/>
      </c>
    </row>
    <row r="62" spans="4:22" x14ac:dyDescent="0.5">
      <c r="D62">
        <f ca="1">IF(Watchlist[[#This Row],[Grade]]="",Watchlist[[#This Row],[Grade history]],CONCATENATE(TEXT(TODAY(),"yyyy-mm-dd"),": ",Watchlist[[#This Row],[Grade]],". ",,Watchlist[[#This Row],[Grade history]]))</f>
        <v>0</v>
      </c>
      <c r="E62">
        <v>0</v>
      </c>
      <c r="G62">
        <f ca="1">IF(Watchlist[[#This Row],[Price]]="",Watchlist[[#This Row],[Price history]],CONCATENATE(TEXT(TODAY(),"yyyy-mm-dd"),": ",Watchlist[[#This Row],[Price]],". ",,Watchlist[[#This Row],[Price history]]))</f>
        <v>0</v>
      </c>
      <c r="H62">
        <v>0</v>
      </c>
      <c r="K62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62" s="1">
        <v>0</v>
      </c>
      <c r="M62" s="1"/>
      <c r="N62" s="1"/>
      <c r="O62" s="1"/>
      <c r="P62" s="1"/>
      <c r="Q62" s="44"/>
      <c r="R62" s="44"/>
      <c r="S62" s="1"/>
      <c r="T62" s="1">
        <f ca="1">IF(Watchlist[[#This Row],[Note]]="",Watchlist[[#This Row],[Note History]],CONCATENATE(TEXT(TODAY(),"yyyy-mm-dd"),": ",Watchlist[[#This Row],[Note]],". ",,Watchlist[[#This Row],[Note History]]))</f>
        <v>0</v>
      </c>
      <c r="U62">
        <v>0</v>
      </c>
      <c r="V62" t="str">
        <f>IF(Watchlist[[#This Row],[Ticker ]]="","",IF(Watchlist[[#This Row],[Action]]="Delete","N","Y"))</f>
        <v/>
      </c>
    </row>
    <row r="63" spans="4:22" x14ac:dyDescent="0.5">
      <c r="D63">
        <f ca="1">IF(Watchlist[[#This Row],[Grade]]="",Watchlist[[#This Row],[Grade history]],CONCATENATE(TEXT(TODAY(),"yyyy-mm-dd"),": ",Watchlist[[#This Row],[Grade]],". ",,Watchlist[[#This Row],[Grade history]]))</f>
        <v>0</v>
      </c>
      <c r="E63">
        <v>0</v>
      </c>
      <c r="G63">
        <f ca="1">IF(Watchlist[[#This Row],[Price]]="",Watchlist[[#This Row],[Price history]],CONCATENATE(TEXT(TODAY(),"yyyy-mm-dd"),": ",Watchlist[[#This Row],[Price]],". ",,Watchlist[[#This Row],[Price history]]))</f>
        <v>0</v>
      </c>
      <c r="H63">
        <v>0</v>
      </c>
      <c r="K63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63" s="1">
        <v>0</v>
      </c>
      <c r="M63" s="1"/>
      <c r="N63" s="1"/>
      <c r="O63" s="1"/>
      <c r="P63" s="1"/>
      <c r="Q63" s="44"/>
      <c r="R63" s="44"/>
      <c r="S63" s="1"/>
      <c r="T63" s="1">
        <f ca="1">IF(Watchlist[[#This Row],[Note]]="",Watchlist[[#This Row],[Note History]],CONCATENATE(TEXT(TODAY(),"yyyy-mm-dd"),": ",Watchlist[[#This Row],[Note]],". ",,Watchlist[[#This Row],[Note History]]))</f>
        <v>0</v>
      </c>
      <c r="U63">
        <v>0</v>
      </c>
      <c r="V63" t="str">
        <f>IF(Watchlist[[#This Row],[Ticker ]]="","",IF(Watchlist[[#This Row],[Action]]="Delete","N","Y"))</f>
        <v/>
      </c>
    </row>
    <row r="64" spans="4:22" x14ac:dyDescent="0.5">
      <c r="D64">
        <f ca="1">IF(Watchlist[[#This Row],[Grade]]="",Watchlist[[#This Row],[Grade history]],CONCATENATE(TEXT(TODAY(),"yyyy-mm-dd"),": ",Watchlist[[#This Row],[Grade]],". ",,Watchlist[[#This Row],[Grade history]]))</f>
        <v>0</v>
      </c>
      <c r="E64">
        <v>0</v>
      </c>
      <c r="G64">
        <f ca="1">IF(Watchlist[[#This Row],[Price]]="",Watchlist[[#This Row],[Price history]],CONCATENATE(TEXT(TODAY(),"yyyy-mm-dd"),": ",Watchlist[[#This Row],[Price]],". ",,Watchlist[[#This Row],[Price history]]))</f>
        <v>0</v>
      </c>
      <c r="H64">
        <v>0</v>
      </c>
      <c r="K64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64" s="1">
        <v>0</v>
      </c>
      <c r="M64" s="1"/>
      <c r="N64" s="1"/>
      <c r="O64" s="1"/>
      <c r="P64" s="1"/>
      <c r="Q64" s="44"/>
      <c r="R64" s="44"/>
      <c r="S64" s="1"/>
      <c r="T64" s="1">
        <f ca="1">IF(Watchlist[[#This Row],[Note]]="",Watchlist[[#This Row],[Note History]],CONCATENATE(TEXT(TODAY(),"yyyy-mm-dd"),": ",Watchlist[[#This Row],[Note]],". ",,Watchlist[[#This Row],[Note History]]))</f>
        <v>0</v>
      </c>
      <c r="U64">
        <v>0</v>
      </c>
      <c r="V64" t="str">
        <f>IF(Watchlist[[#This Row],[Ticker ]]="","",IF(Watchlist[[#This Row],[Action]]="Delete","N","Y"))</f>
        <v/>
      </c>
    </row>
    <row r="65" spans="4:22" x14ac:dyDescent="0.5">
      <c r="D65">
        <f ca="1">IF(Watchlist[[#This Row],[Grade]]="",Watchlist[[#This Row],[Grade history]],CONCATENATE(TEXT(TODAY(),"yyyy-mm-dd"),": ",Watchlist[[#This Row],[Grade]],". ",,Watchlist[[#This Row],[Grade history]]))</f>
        <v>0</v>
      </c>
      <c r="E65">
        <v>0</v>
      </c>
      <c r="G65">
        <f ca="1">IF(Watchlist[[#This Row],[Price]]="",Watchlist[[#This Row],[Price history]],CONCATENATE(TEXT(TODAY(),"yyyy-mm-dd"),": ",Watchlist[[#This Row],[Price]],". ",,Watchlist[[#This Row],[Price history]]))</f>
        <v>0</v>
      </c>
      <c r="H65">
        <v>0</v>
      </c>
      <c r="K65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65" s="1">
        <v>0</v>
      </c>
      <c r="M65" s="1"/>
      <c r="N65" s="1"/>
      <c r="O65" s="1"/>
      <c r="P65" s="1"/>
      <c r="Q65" s="44"/>
      <c r="R65" s="44"/>
      <c r="S65" s="1"/>
      <c r="T65" s="1">
        <f ca="1">IF(Watchlist[[#This Row],[Note]]="",Watchlist[[#This Row],[Note History]],CONCATENATE(TEXT(TODAY(),"yyyy-mm-dd"),": ",Watchlist[[#This Row],[Note]],". ",,Watchlist[[#This Row],[Note History]]))</f>
        <v>0</v>
      </c>
      <c r="U65">
        <v>0</v>
      </c>
      <c r="V65" t="str">
        <f>IF(Watchlist[[#This Row],[Ticker ]]="","",IF(Watchlist[[#This Row],[Action]]="Delete","N","Y"))</f>
        <v/>
      </c>
    </row>
    <row r="66" spans="4:22" x14ac:dyDescent="0.5">
      <c r="D66">
        <f ca="1">IF(Watchlist[[#This Row],[Grade]]="",Watchlist[[#This Row],[Grade history]],CONCATENATE(TEXT(TODAY(),"yyyy-mm-dd"),": ",Watchlist[[#This Row],[Grade]],". ",,Watchlist[[#This Row],[Grade history]]))</f>
        <v>0</v>
      </c>
      <c r="E66">
        <v>0</v>
      </c>
      <c r="G66">
        <f ca="1">IF(Watchlist[[#This Row],[Price]]="",Watchlist[[#This Row],[Price history]],CONCATENATE(TEXT(TODAY(),"yyyy-mm-dd"),": ",Watchlist[[#This Row],[Price]],". ",,Watchlist[[#This Row],[Price history]]))</f>
        <v>0</v>
      </c>
      <c r="H66">
        <v>0</v>
      </c>
      <c r="K66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66" s="1">
        <v>0</v>
      </c>
      <c r="M66" s="1"/>
      <c r="N66" s="1"/>
      <c r="O66" s="1"/>
      <c r="P66" s="1"/>
      <c r="Q66" s="44"/>
      <c r="R66" s="44"/>
      <c r="S66" s="1"/>
      <c r="T66" s="1">
        <f ca="1">IF(Watchlist[[#This Row],[Note]]="",Watchlist[[#This Row],[Note History]],CONCATENATE(TEXT(TODAY(),"yyyy-mm-dd"),": ",Watchlist[[#This Row],[Note]],". ",,Watchlist[[#This Row],[Note History]]))</f>
        <v>0</v>
      </c>
      <c r="U66">
        <v>0</v>
      </c>
      <c r="V66" t="str">
        <f>IF(Watchlist[[#This Row],[Ticker ]]="","",IF(Watchlist[[#This Row],[Action]]="Delete","N","Y"))</f>
        <v/>
      </c>
    </row>
    <row r="67" spans="4:22" x14ac:dyDescent="0.5">
      <c r="D67">
        <f ca="1">IF(Watchlist[[#This Row],[Grade]]="",Watchlist[[#This Row],[Grade history]],CONCATENATE(TEXT(TODAY(),"yyyy-mm-dd"),": ",Watchlist[[#This Row],[Grade]],". ",,Watchlist[[#This Row],[Grade history]]))</f>
        <v>0</v>
      </c>
      <c r="E67">
        <v>0</v>
      </c>
      <c r="G67">
        <f ca="1">IF(Watchlist[[#This Row],[Price]]="",Watchlist[[#This Row],[Price history]],CONCATENATE(TEXT(TODAY(),"yyyy-mm-dd"),": ",Watchlist[[#This Row],[Price]],". ",,Watchlist[[#This Row],[Price history]]))</f>
        <v>0</v>
      </c>
      <c r="H67">
        <v>0</v>
      </c>
      <c r="K67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67" s="1">
        <v>0</v>
      </c>
      <c r="M67" s="1"/>
      <c r="N67" s="1"/>
      <c r="O67" s="1"/>
      <c r="P67" s="1"/>
      <c r="Q67" s="44"/>
      <c r="R67" s="44"/>
      <c r="S67" s="1"/>
      <c r="T67" s="1">
        <f ca="1">IF(Watchlist[[#This Row],[Note]]="",Watchlist[[#This Row],[Note History]],CONCATENATE(TEXT(TODAY(),"yyyy-mm-dd"),": ",Watchlist[[#This Row],[Note]],". ",,Watchlist[[#This Row],[Note History]]))</f>
        <v>0</v>
      </c>
      <c r="U67">
        <v>0</v>
      </c>
      <c r="V67" t="str">
        <f>IF(Watchlist[[#This Row],[Ticker ]]="","",IF(Watchlist[[#This Row],[Action]]="Delete","N","Y"))</f>
        <v/>
      </c>
    </row>
    <row r="68" spans="4:22" x14ac:dyDescent="0.5">
      <c r="D68">
        <f ca="1">IF(Watchlist[[#This Row],[Grade]]="",Watchlist[[#This Row],[Grade history]],CONCATENATE(TEXT(TODAY(),"yyyy-mm-dd"),": ",Watchlist[[#This Row],[Grade]],". ",,Watchlist[[#This Row],[Grade history]]))</f>
        <v>0</v>
      </c>
      <c r="E68">
        <v>0</v>
      </c>
      <c r="G68">
        <f ca="1">IF(Watchlist[[#This Row],[Price]]="",Watchlist[[#This Row],[Price history]],CONCATENATE(TEXT(TODAY(),"yyyy-mm-dd"),": ",Watchlist[[#This Row],[Price]],". ",,Watchlist[[#This Row],[Price history]]))</f>
        <v>0</v>
      </c>
      <c r="H68">
        <v>0</v>
      </c>
      <c r="K68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68" s="1">
        <v>0</v>
      </c>
      <c r="M68" s="1"/>
      <c r="N68" s="1"/>
      <c r="O68" s="1"/>
      <c r="P68" s="1"/>
      <c r="Q68" s="44"/>
      <c r="R68" s="44"/>
      <c r="S68" s="1"/>
      <c r="T68" s="1">
        <f ca="1">IF(Watchlist[[#This Row],[Note]]="",Watchlist[[#This Row],[Note History]],CONCATENATE(TEXT(TODAY(),"yyyy-mm-dd"),": ",Watchlist[[#This Row],[Note]],". ",,Watchlist[[#This Row],[Note History]]))</f>
        <v>0</v>
      </c>
      <c r="U68">
        <v>0</v>
      </c>
      <c r="V68" t="str">
        <f>IF(Watchlist[[#This Row],[Ticker ]]="","",IF(Watchlist[[#This Row],[Action]]="Delete","N","Y"))</f>
        <v/>
      </c>
    </row>
    <row r="69" spans="4:22" x14ac:dyDescent="0.5">
      <c r="D69">
        <f ca="1">IF(Watchlist[[#This Row],[Grade]]="",Watchlist[[#This Row],[Grade history]],CONCATENATE(TEXT(TODAY(),"yyyy-mm-dd"),": ",Watchlist[[#This Row],[Grade]],". ",,Watchlist[[#This Row],[Grade history]]))</f>
        <v>0</v>
      </c>
      <c r="E69">
        <v>0</v>
      </c>
      <c r="G69">
        <f ca="1">IF(Watchlist[[#This Row],[Price]]="",Watchlist[[#This Row],[Price history]],CONCATENATE(TEXT(TODAY(),"yyyy-mm-dd"),": ",Watchlist[[#This Row],[Price]],". ",,Watchlist[[#This Row],[Price history]]))</f>
        <v>0</v>
      </c>
      <c r="H69">
        <v>0</v>
      </c>
      <c r="K69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69" s="1">
        <v>0</v>
      </c>
      <c r="M69" s="1"/>
      <c r="N69" s="1"/>
      <c r="O69" s="1"/>
      <c r="P69" s="1"/>
      <c r="Q69" s="44"/>
      <c r="R69" s="44"/>
      <c r="S69" s="1"/>
      <c r="T69" s="1">
        <f ca="1">IF(Watchlist[[#This Row],[Note]]="",Watchlist[[#This Row],[Note History]],CONCATENATE(TEXT(TODAY(),"yyyy-mm-dd"),": ",Watchlist[[#This Row],[Note]],". ",,Watchlist[[#This Row],[Note History]]))</f>
        <v>0</v>
      </c>
      <c r="U69">
        <v>0</v>
      </c>
      <c r="V69" t="str">
        <f>IF(Watchlist[[#This Row],[Ticker ]]="","",IF(Watchlist[[#This Row],[Action]]="Delete","N","Y"))</f>
        <v/>
      </c>
    </row>
    <row r="70" spans="4:22" x14ac:dyDescent="0.5">
      <c r="D70">
        <f ca="1">IF(Watchlist[[#This Row],[Grade]]="",Watchlist[[#This Row],[Grade history]],CONCATENATE(TEXT(TODAY(),"yyyy-mm-dd"),": ",Watchlist[[#This Row],[Grade]],". ",,Watchlist[[#This Row],[Grade history]]))</f>
        <v>0</v>
      </c>
      <c r="E70">
        <v>0</v>
      </c>
      <c r="G70">
        <f ca="1">IF(Watchlist[[#This Row],[Price]]="",Watchlist[[#This Row],[Price history]],CONCATENATE(TEXT(TODAY(),"yyyy-mm-dd"),": ",Watchlist[[#This Row],[Price]],". ",,Watchlist[[#This Row],[Price history]]))</f>
        <v>0</v>
      </c>
      <c r="H70">
        <v>0</v>
      </c>
      <c r="K70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70" s="1">
        <v>0</v>
      </c>
      <c r="M70" s="1"/>
      <c r="N70" s="1"/>
      <c r="O70" s="1"/>
      <c r="P70" s="1"/>
      <c r="Q70" s="44"/>
      <c r="R70" s="44"/>
      <c r="S70" s="1"/>
      <c r="T70" s="1">
        <f ca="1">IF(Watchlist[[#This Row],[Note]]="",Watchlist[[#This Row],[Note History]],CONCATENATE(TEXT(TODAY(),"yyyy-mm-dd"),": ",Watchlist[[#This Row],[Note]],". ",,Watchlist[[#This Row],[Note History]]))</f>
        <v>0</v>
      </c>
      <c r="U70">
        <v>0</v>
      </c>
      <c r="V70" t="str">
        <f>IF(Watchlist[[#This Row],[Ticker ]]="","",IF(Watchlist[[#This Row],[Action]]="Delete","N","Y"))</f>
        <v/>
      </c>
    </row>
    <row r="71" spans="4:22" x14ac:dyDescent="0.5">
      <c r="D71">
        <f ca="1">IF(Watchlist[[#This Row],[Grade]]="",Watchlist[[#This Row],[Grade history]],CONCATENATE(TEXT(TODAY(),"yyyy-mm-dd"),": ",Watchlist[[#This Row],[Grade]],". ",,Watchlist[[#This Row],[Grade history]]))</f>
        <v>0</v>
      </c>
      <c r="E71">
        <v>0</v>
      </c>
      <c r="G71">
        <f ca="1">IF(Watchlist[[#This Row],[Price]]="",Watchlist[[#This Row],[Price history]],CONCATENATE(TEXT(TODAY(),"yyyy-mm-dd"),": ",Watchlist[[#This Row],[Price]],". ",,Watchlist[[#This Row],[Price history]]))</f>
        <v>0</v>
      </c>
      <c r="H71">
        <v>0</v>
      </c>
      <c r="K71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71" s="1">
        <v>0</v>
      </c>
      <c r="M71" s="1"/>
      <c r="N71" s="1"/>
      <c r="O71" s="1"/>
      <c r="P71" s="1"/>
      <c r="Q71" s="44"/>
      <c r="R71" s="44"/>
      <c r="S71" s="1"/>
      <c r="T71" s="1">
        <f ca="1">IF(Watchlist[[#This Row],[Note]]="",Watchlist[[#This Row],[Note History]],CONCATENATE(TEXT(TODAY(),"yyyy-mm-dd"),": ",Watchlist[[#This Row],[Note]],". ",,Watchlist[[#This Row],[Note History]]))</f>
        <v>0</v>
      </c>
      <c r="U71">
        <v>0</v>
      </c>
      <c r="V71" t="str">
        <f>IF(Watchlist[[#This Row],[Ticker ]]="","",IF(Watchlist[[#This Row],[Action]]="Delete","N","Y"))</f>
        <v/>
      </c>
    </row>
    <row r="72" spans="4:22" x14ac:dyDescent="0.5">
      <c r="D72">
        <f ca="1">IF(Watchlist[[#This Row],[Grade]]="",Watchlist[[#This Row],[Grade history]],CONCATENATE(TEXT(TODAY(),"yyyy-mm-dd"),": ",Watchlist[[#This Row],[Grade]],". ",,Watchlist[[#This Row],[Grade history]]))</f>
        <v>0</v>
      </c>
      <c r="E72">
        <v>0</v>
      </c>
      <c r="G72">
        <f ca="1">IF(Watchlist[[#This Row],[Price]]="",Watchlist[[#This Row],[Price history]],CONCATENATE(TEXT(TODAY(),"yyyy-mm-dd"),": ",Watchlist[[#This Row],[Price]],". ",,Watchlist[[#This Row],[Price history]]))</f>
        <v>0</v>
      </c>
      <c r="H72">
        <v>0</v>
      </c>
      <c r="K72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72" s="1">
        <v>0</v>
      </c>
      <c r="M72" s="1"/>
      <c r="N72" s="1"/>
      <c r="O72" s="1"/>
      <c r="P72" s="1"/>
      <c r="Q72" s="44"/>
      <c r="R72" s="44"/>
      <c r="S72" s="1"/>
      <c r="T72" s="1">
        <f ca="1">IF(Watchlist[[#This Row],[Note]]="",Watchlist[[#This Row],[Note History]],CONCATENATE(TEXT(TODAY(),"yyyy-mm-dd"),": ",Watchlist[[#This Row],[Note]],". ",,Watchlist[[#This Row],[Note History]]))</f>
        <v>0</v>
      </c>
      <c r="U72">
        <v>0</v>
      </c>
      <c r="V72" t="str">
        <f>IF(Watchlist[[#This Row],[Ticker ]]="","",IF(Watchlist[[#This Row],[Action]]="Delete","N","Y"))</f>
        <v/>
      </c>
    </row>
    <row r="73" spans="4:22" x14ac:dyDescent="0.5">
      <c r="D73">
        <f ca="1">IF(Watchlist[[#This Row],[Grade]]="",Watchlist[[#This Row],[Grade history]],CONCATENATE(TEXT(TODAY(),"yyyy-mm-dd"),": ",Watchlist[[#This Row],[Grade]],". ",,Watchlist[[#This Row],[Grade history]]))</f>
        <v>0</v>
      </c>
      <c r="E73">
        <v>0</v>
      </c>
      <c r="G73">
        <f ca="1">IF(Watchlist[[#This Row],[Price]]="",Watchlist[[#This Row],[Price history]],CONCATENATE(TEXT(TODAY(),"yyyy-mm-dd"),": ",Watchlist[[#This Row],[Price]],". ",,Watchlist[[#This Row],[Price history]]))</f>
        <v>0</v>
      </c>
      <c r="H73">
        <v>0</v>
      </c>
      <c r="K73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73" s="1">
        <v>0</v>
      </c>
      <c r="M73" s="1"/>
      <c r="N73" s="1"/>
      <c r="O73" s="1"/>
      <c r="P73" s="1"/>
      <c r="Q73" s="44"/>
      <c r="R73" s="44"/>
      <c r="S73" s="1"/>
      <c r="T73" s="1">
        <f ca="1">IF(Watchlist[[#This Row],[Note]]="",Watchlist[[#This Row],[Note History]],CONCATENATE(TEXT(TODAY(),"yyyy-mm-dd"),": ",Watchlist[[#This Row],[Note]],". ",,Watchlist[[#This Row],[Note History]]))</f>
        <v>0</v>
      </c>
      <c r="U73">
        <v>0</v>
      </c>
      <c r="V73" t="str">
        <f>IF(Watchlist[[#This Row],[Ticker ]]="","",IF(Watchlist[[#This Row],[Action]]="Delete","N","Y"))</f>
        <v/>
      </c>
    </row>
    <row r="74" spans="4:22" x14ac:dyDescent="0.5">
      <c r="D74">
        <f ca="1">IF(Watchlist[[#This Row],[Grade]]="",Watchlist[[#This Row],[Grade history]],CONCATENATE(TEXT(TODAY(),"yyyy-mm-dd"),": ",Watchlist[[#This Row],[Grade]],". ",,Watchlist[[#This Row],[Grade history]]))</f>
        <v>0</v>
      </c>
      <c r="E74">
        <v>0</v>
      </c>
      <c r="G74">
        <f ca="1">IF(Watchlist[[#This Row],[Price]]="",Watchlist[[#This Row],[Price history]],CONCATENATE(TEXT(TODAY(),"yyyy-mm-dd"),": ",Watchlist[[#This Row],[Price]],". ",,Watchlist[[#This Row],[Price history]]))</f>
        <v>0</v>
      </c>
      <c r="H74">
        <v>0</v>
      </c>
      <c r="K74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74" s="1">
        <v>0</v>
      </c>
      <c r="M74" s="1"/>
      <c r="N74" s="1"/>
      <c r="O74" s="1"/>
      <c r="P74" s="1"/>
      <c r="Q74" s="44"/>
      <c r="R74" s="44"/>
      <c r="S74" s="1"/>
      <c r="T74" s="1">
        <f ca="1">IF(Watchlist[[#This Row],[Note]]="",Watchlist[[#This Row],[Note History]],CONCATENATE(TEXT(TODAY(),"yyyy-mm-dd"),": ",Watchlist[[#This Row],[Note]],". ",,Watchlist[[#This Row],[Note History]]))</f>
        <v>0</v>
      </c>
      <c r="U74">
        <v>0</v>
      </c>
      <c r="V74" t="str">
        <f>IF(Watchlist[[#This Row],[Ticker ]]="","",IF(Watchlist[[#This Row],[Action]]="Delete","N","Y"))</f>
        <v/>
      </c>
    </row>
    <row r="75" spans="4:22" x14ac:dyDescent="0.5">
      <c r="D75">
        <f ca="1">IF(Watchlist[[#This Row],[Grade]]="",Watchlist[[#This Row],[Grade history]],CONCATENATE(TEXT(TODAY(),"yyyy-mm-dd"),": ",Watchlist[[#This Row],[Grade]],". ",,Watchlist[[#This Row],[Grade history]]))</f>
        <v>0</v>
      </c>
      <c r="E75">
        <v>0</v>
      </c>
      <c r="G75">
        <f ca="1">IF(Watchlist[[#This Row],[Price]]="",Watchlist[[#This Row],[Price history]],CONCATENATE(TEXT(TODAY(),"yyyy-mm-dd"),": ",Watchlist[[#This Row],[Price]],". ",,Watchlist[[#This Row],[Price history]]))</f>
        <v>0</v>
      </c>
      <c r="H75">
        <v>0</v>
      </c>
      <c r="K75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75" s="1">
        <v>0</v>
      </c>
      <c r="M75" s="1"/>
      <c r="N75" s="1"/>
      <c r="O75" s="1"/>
      <c r="P75" s="1"/>
      <c r="Q75" s="44"/>
      <c r="R75" s="44"/>
      <c r="S75" s="1"/>
      <c r="T75" s="1">
        <f ca="1">IF(Watchlist[[#This Row],[Note]]="",Watchlist[[#This Row],[Note History]],CONCATENATE(TEXT(TODAY(),"yyyy-mm-dd"),": ",Watchlist[[#This Row],[Note]],". ",,Watchlist[[#This Row],[Note History]]))</f>
        <v>0</v>
      </c>
      <c r="U75">
        <v>0</v>
      </c>
      <c r="V75" t="str">
        <f>IF(Watchlist[[#This Row],[Ticker ]]="","",IF(Watchlist[[#This Row],[Action]]="Delete","N","Y"))</f>
        <v/>
      </c>
    </row>
    <row r="76" spans="4:22" x14ac:dyDescent="0.5">
      <c r="D76">
        <f ca="1">IF(Watchlist[[#This Row],[Grade]]="",Watchlist[[#This Row],[Grade history]],CONCATENATE(TEXT(TODAY(),"yyyy-mm-dd"),": ",Watchlist[[#This Row],[Grade]],". ",,Watchlist[[#This Row],[Grade history]]))</f>
        <v>0</v>
      </c>
      <c r="E76">
        <v>0</v>
      </c>
      <c r="G76">
        <f ca="1">IF(Watchlist[[#This Row],[Price]]="",Watchlist[[#This Row],[Price history]],CONCATENATE(TEXT(TODAY(),"yyyy-mm-dd"),": ",Watchlist[[#This Row],[Price]],". ",,Watchlist[[#This Row],[Price history]]))</f>
        <v>0</v>
      </c>
      <c r="H76">
        <v>0</v>
      </c>
      <c r="K76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76" s="1">
        <v>0</v>
      </c>
      <c r="M76" s="1"/>
      <c r="N76" s="1"/>
      <c r="O76" s="1"/>
      <c r="P76" s="1"/>
      <c r="Q76" s="44"/>
      <c r="R76" s="44"/>
      <c r="S76" s="1"/>
      <c r="T76" s="1">
        <f ca="1">IF(Watchlist[[#This Row],[Note]]="",Watchlist[[#This Row],[Note History]],CONCATENATE(TEXT(TODAY(),"yyyy-mm-dd"),": ",Watchlist[[#This Row],[Note]],". ",,Watchlist[[#This Row],[Note History]]))</f>
        <v>0</v>
      </c>
      <c r="U76">
        <v>0</v>
      </c>
      <c r="V76" t="str">
        <f>IF(Watchlist[[#This Row],[Ticker ]]="","",IF(Watchlist[[#This Row],[Action]]="Delete","N","Y"))</f>
        <v/>
      </c>
    </row>
    <row r="77" spans="4:22" x14ac:dyDescent="0.5">
      <c r="D77">
        <f ca="1">IF(Watchlist[[#This Row],[Grade]]="",Watchlist[[#This Row],[Grade history]],CONCATENATE(TEXT(TODAY(),"yyyy-mm-dd"),": ",Watchlist[[#This Row],[Grade]],". ",,Watchlist[[#This Row],[Grade history]]))</f>
        <v>0</v>
      </c>
      <c r="E77">
        <v>0</v>
      </c>
      <c r="G77">
        <f ca="1">IF(Watchlist[[#This Row],[Price]]="",Watchlist[[#This Row],[Price history]],CONCATENATE(TEXT(TODAY(),"yyyy-mm-dd"),": ",Watchlist[[#This Row],[Price]],". ",,Watchlist[[#This Row],[Price history]]))</f>
        <v>0</v>
      </c>
      <c r="H77">
        <v>0</v>
      </c>
      <c r="K77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77" s="1">
        <v>0</v>
      </c>
      <c r="M77" s="1"/>
      <c r="N77" s="1"/>
      <c r="O77" s="1"/>
      <c r="P77" s="1"/>
      <c r="Q77" s="44"/>
      <c r="R77" s="44"/>
      <c r="S77" s="1"/>
      <c r="T77" s="1">
        <f ca="1">IF(Watchlist[[#This Row],[Note]]="",Watchlist[[#This Row],[Note History]],CONCATENATE(TEXT(TODAY(),"yyyy-mm-dd"),": ",Watchlist[[#This Row],[Note]],". ",,Watchlist[[#This Row],[Note History]]))</f>
        <v>0</v>
      </c>
      <c r="U77">
        <v>0</v>
      </c>
      <c r="V77" t="str">
        <f>IF(Watchlist[[#This Row],[Ticker ]]="","",IF(Watchlist[[#This Row],[Action]]="Delete","N","Y"))</f>
        <v/>
      </c>
    </row>
    <row r="78" spans="4:22" x14ac:dyDescent="0.5">
      <c r="D78">
        <f ca="1">IF(Watchlist[[#This Row],[Grade]]="",Watchlist[[#This Row],[Grade history]],CONCATENATE(TEXT(TODAY(),"yyyy-mm-dd"),": ",Watchlist[[#This Row],[Grade]],". ",,Watchlist[[#This Row],[Grade history]]))</f>
        <v>0</v>
      </c>
      <c r="E78">
        <v>0</v>
      </c>
      <c r="G78">
        <f ca="1">IF(Watchlist[[#This Row],[Price]]="",Watchlist[[#This Row],[Price history]],CONCATENATE(TEXT(TODAY(),"yyyy-mm-dd"),": ",Watchlist[[#This Row],[Price]],". ",,Watchlist[[#This Row],[Price history]]))</f>
        <v>0</v>
      </c>
      <c r="H78">
        <v>0</v>
      </c>
      <c r="K78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78" s="1">
        <v>0</v>
      </c>
      <c r="M78" s="1"/>
      <c r="N78" s="1"/>
      <c r="O78" s="1"/>
      <c r="P78" s="1"/>
      <c r="Q78" s="44"/>
      <c r="R78" s="44"/>
      <c r="S78" s="1"/>
      <c r="T78" s="1">
        <f ca="1">IF(Watchlist[[#This Row],[Note]]="",Watchlist[[#This Row],[Note History]],CONCATENATE(TEXT(TODAY(),"yyyy-mm-dd"),": ",Watchlist[[#This Row],[Note]],". ",,Watchlist[[#This Row],[Note History]]))</f>
        <v>0</v>
      </c>
      <c r="U78">
        <v>0</v>
      </c>
      <c r="V78" t="str">
        <f>IF(Watchlist[[#This Row],[Ticker ]]="","",IF(Watchlist[[#This Row],[Action]]="Delete","N","Y"))</f>
        <v/>
      </c>
    </row>
    <row r="79" spans="4:22" x14ac:dyDescent="0.5">
      <c r="D79">
        <f ca="1">IF(Watchlist[[#This Row],[Grade]]="",Watchlist[[#This Row],[Grade history]],CONCATENATE(TEXT(TODAY(),"yyyy-mm-dd"),": ",Watchlist[[#This Row],[Grade]],". ",,Watchlist[[#This Row],[Grade history]]))</f>
        <v>0</v>
      </c>
      <c r="E79">
        <v>0</v>
      </c>
      <c r="G79">
        <f ca="1">IF(Watchlist[[#This Row],[Price]]="",Watchlist[[#This Row],[Price history]],CONCATENATE(TEXT(TODAY(),"yyyy-mm-dd"),": ",Watchlist[[#This Row],[Price]],". ",,Watchlist[[#This Row],[Price history]]))</f>
        <v>0</v>
      </c>
      <c r="H79">
        <v>0</v>
      </c>
      <c r="K79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79" s="1">
        <v>0</v>
      </c>
      <c r="M79" s="1"/>
      <c r="N79" s="1"/>
      <c r="O79" s="1"/>
      <c r="P79" s="1"/>
      <c r="Q79" s="44"/>
      <c r="R79" s="44"/>
      <c r="S79" s="1"/>
      <c r="T79" s="1">
        <f ca="1">IF(Watchlist[[#This Row],[Note]]="",Watchlist[[#This Row],[Note History]],CONCATENATE(TEXT(TODAY(),"yyyy-mm-dd"),": ",Watchlist[[#This Row],[Note]],". ",,Watchlist[[#This Row],[Note History]]))</f>
        <v>0</v>
      </c>
      <c r="U79">
        <v>0</v>
      </c>
      <c r="V79" t="str">
        <f>IF(Watchlist[[#This Row],[Ticker ]]="","",IF(Watchlist[[#This Row],[Action]]="Delete","N","Y"))</f>
        <v/>
      </c>
    </row>
    <row r="80" spans="4:22" x14ac:dyDescent="0.5">
      <c r="D80">
        <f ca="1">IF(Watchlist[[#This Row],[Grade]]="",Watchlist[[#This Row],[Grade history]],CONCATENATE(TEXT(TODAY(),"yyyy-mm-dd"),": ",Watchlist[[#This Row],[Grade]],". ",,Watchlist[[#This Row],[Grade history]]))</f>
        <v>0</v>
      </c>
      <c r="E80">
        <v>0</v>
      </c>
      <c r="G80">
        <f ca="1">IF(Watchlist[[#This Row],[Price]]="",Watchlist[[#This Row],[Price history]],CONCATENATE(TEXT(TODAY(),"yyyy-mm-dd"),": ",Watchlist[[#This Row],[Price]],". ",,Watchlist[[#This Row],[Price history]]))</f>
        <v>0</v>
      </c>
      <c r="H80">
        <v>0</v>
      </c>
      <c r="K80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80" s="1">
        <v>0</v>
      </c>
      <c r="M80" s="1"/>
      <c r="N80" s="1"/>
      <c r="O80" s="1"/>
      <c r="P80" s="1"/>
      <c r="Q80" s="44"/>
      <c r="R80" s="44"/>
      <c r="S80" s="1"/>
      <c r="T80" s="1">
        <f ca="1">IF(Watchlist[[#This Row],[Note]]="",Watchlist[[#This Row],[Note History]],CONCATENATE(TEXT(TODAY(),"yyyy-mm-dd"),": ",Watchlist[[#This Row],[Note]],". ",,Watchlist[[#This Row],[Note History]]))</f>
        <v>0</v>
      </c>
      <c r="U80">
        <v>0</v>
      </c>
      <c r="V80" t="str">
        <f>IF(Watchlist[[#This Row],[Ticker ]]="","",IF(Watchlist[[#This Row],[Action]]="Delete","N","Y"))</f>
        <v/>
      </c>
    </row>
    <row r="81" spans="4:22" x14ac:dyDescent="0.5">
      <c r="D81">
        <f ca="1">IF(Watchlist[[#This Row],[Grade]]="",Watchlist[[#This Row],[Grade history]],CONCATENATE(TEXT(TODAY(),"yyyy-mm-dd"),": ",Watchlist[[#This Row],[Grade]],". ",,Watchlist[[#This Row],[Grade history]]))</f>
        <v>0</v>
      </c>
      <c r="E81">
        <v>0</v>
      </c>
      <c r="G81">
        <f ca="1">IF(Watchlist[[#This Row],[Price]]="",Watchlist[[#This Row],[Price history]],CONCATENATE(TEXT(TODAY(),"yyyy-mm-dd"),": ",Watchlist[[#This Row],[Price]],". ",,Watchlist[[#This Row],[Price history]]))</f>
        <v>0</v>
      </c>
      <c r="H81">
        <v>0</v>
      </c>
      <c r="K81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81" s="1">
        <v>0</v>
      </c>
      <c r="M81" s="1"/>
      <c r="N81" s="1"/>
      <c r="O81" s="1"/>
      <c r="P81" s="1"/>
      <c r="Q81" s="44"/>
      <c r="R81" s="44"/>
      <c r="S81" s="1"/>
      <c r="T81" s="1">
        <f ca="1">IF(Watchlist[[#This Row],[Note]]="",Watchlist[[#This Row],[Note History]],CONCATENATE(TEXT(TODAY(),"yyyy-mm-dd"),": ",Watchlist[[#This Row],[Note]],". ",,Watchlist[[#This Row],[Note History]]))</f>
        <v>0</v>
      </c>
      <c r="U81">
        <v>0</v>
      </c>
      <c r="V81" t="str">
        <f>IF(Watchlist[[#This Row],[Ticker ]]="","",IF(Watchlist[[#This Row],[Action]]="Delete","N","Y"))</f>
        <v/>
      </c>
    </row>
    <row r="82" spans="4:22" x14ac:dyDescent="0.5">
      <c r="D82">
        <f ca="1">IF(Watchlist[[#This Row],[Grade]]="",Watchlist[[#This Row],[Grade history]],CONCATENATE(TEXT(TODAY(),"yyyy-mm-dd"),": ",Watchlist[[#This Row],[Grade]],". ",,Watchlist[[#This Row],[Grade history]]))</f>
        <v>0</v>
      </c>
      <c r="E82">
        <v>0</v>
      </c>
      <c r="G82">
        <f ca="1">IF(Watchlist[[#This Row],[Price]]="",Watchlist[[#This Row],[Price history]],CONCATENATE(TEXT(TODAY(),"yyyy-mm-dd"),": ",Watchlist[[#This Row],[Price]],". ",,Watchlist[[#This Row],[Price history]]))</f>
        <v>0</v>
      </c>
      <c r="H82">
        <v>0</v>
      </c>
      <c r="K82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82" s="1">
        <v>0</v>
      </c>
      <c r="M82" s="1"/>
      <c r="N82" s="1"/>
      <c r="O82" s="1"/>
      <c r="P82" s="1"/>
      <c r="Q82" s="44"/>
      <c r="R82" s="44"/>
      <c r="S82" s="1"/>
      <c r="T82" s="1">
        <f ca="1">IF(Watchlist[[#This Row],[Note]]="",Watchlist[[#This Row],[Note History]],CONCATENATE(TEXT(TODAY(),"yyyy-mm-dd"),": ",Watchlist[[#This Row],[Note]],". ",,Watchlist[[#This Row],[Note History]]))</f>
        <v>0</v>
      </c>
      <c r="U82">
        <v>0</v>
      </c>
      <c r="V82" t="str">
        <f>IF(Watchlist[[#This Row],[Ticker ]]="","",IF(Watchlist[[#This Row],[Action]]="Delete","N","Y"))</f>
        <v/>
      </c>
    </row>
    <row r="83" spans="4:22" x14ac:dyDescent="0.5">
      <c r="D83">
        <f ca="1">IF(Watchlist[[#This Row],[Grade]]="",Watchlist[[#This Row],[Grade history]],CONCATENATE(TEXT(TODAY(),"yyyy-mm-dd"),": ",Watchlist[[#This Row],[Grade]],". ",,Watchlist[[#This Row],[Grade history]]))</f>
        <v>0</v>
      </c>
      <c r="E83">
        <v>0</v>
      </c>
      <c r="G83">
        <f ca="1">IF(Watchlist[[#This Row],[Price]]="",Watchlist[[#This Row],[Price history]],CONCATENATE(TEXT(TODAY(),"yyyy-mm-dd"),": ",Watchlist[[#This Row],[Price]],". ",,Watchlist[[#This Row],[Price history]]))</f>
        <v>0</v>
      </c>
      <c r="H83">
        <v>0</v>
      </c>
      <c r="K83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83" s="1">
        <v>0</v>
      </c>
      <c r="M83" s="1"/>
      <c r="N83" s="1"/>
      <c r="O83" s="1"/>
      <c r="P83" s="1"/>
      <c r="Q83" s="44"/>
      <c r="R83" s="44"/>
      <c r="S83" s="1"/>
      <c r="T83" s="1">
        <f ca="1">IF(Watchlist[[#This Row],[Note]]="",Watchlist[[#This Row],[Note History]],CONCATENATE(TEXT(TODAY(),"yyyy-mm-dd"),": ",Watchlist[[#This Row],[Note]],". ",,Watchlist[[#This Row],[Note History]]))</f>
        <v>0</v>
      </c>
      <c r="U83">
        <v>0</v>
      </c>
      <c r="V83" t="str">
        <f>IF(Watchlist[[#This Row],[Ticker ]]="","",IF(Watchlist[[#This Row],[Action]]="Delete","N","Y"))</f>
        <v/>
      </c>
    </row>
    <row r="84" spans="4:22" x14ac:dyDescent="0.5">
      <c r="D84">
        <f ca="1">IF(Watchlist[[#This Row],[Grade]]="",Watchlist[[#This Row],[Grade history]],CONCATENATE(TEXT(TODAY(),"yyyy-mm-dd"),": ",Watchlist[[#This Row],[Grade]],". ",,Watchlist[[#This Row],[Grade history]]))</f>
        <v>0</v>
      </c>
      <c r="E84">
        <v>0</v>
      </c>
      <c r="G84">
        <f ca="1">IF(Watchlist[[#This Row],[Price]]="",Watchlist[[#This Row],[Price history]],CONCATENATE(TEXT(TODAY(),"yyyy-mm-dd"),": ",Watchlist[[#This Row],[Price]],". ",,Watchlist[[#This Row],[Price history]]))</f>
        <v>0</v>
      </c>
      <c r="H84">
        <v>0</v>
      </c>
      <c r="K84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84" s="1">
        <v>0</v>
      </c>
      <c r="M84" s="1"/>
      <c r="N84" s="1"/>
      <c r="O84" s="1"/>
      <c r="P84" s="1"/>
      <c r="Q84" s="44"/>
      <c r="R84" s="44"/>
      <c r="S84" s="1"/>
      <c r="T84" s="1">
        <f ca="1">IF(Watchlist[[#This Row],[Note]]="",Watchlist[[#This Row],[Note History]],CONCATENATE(TEXT(TODAY(),"yyyy-mm-dd"),": ",Watchlist[[#This Row],[Note]],". ",,Watchlist[[#This Row],[Note History]]))</f>
        <v>0</v>
      </c>
      <c r="U84">
        <v>0</v>
      </c>
      <c r="V84" t="str">
        <f>IF(Watchlist[[#This Row],[Ticker ]]="","",IF(Watchlist[[#This Row],[Action]]="Delete","N","Y"))</f>
        <v/>
      </c>
    </row>
    <row r="85" spans="4:22" x14ac:dyDescent="0.5">
      <c r="D85">
        <f ca="1">IF(Watchlist[[#This Row],[Grade]]="",Watchlist[[#This Row],[Grade history]],CONCATENATE(TEXT(TODAY(),"yyyy-mm-dd"),": ",Watchlist[[#This Row],[Grade]],". ",,Watchlist[[#This Row],[Grade history]]))</f>
        <v>0</v>
      </c>
      <c r="E85">
        <v>0</v>
      </c>
      <c r="G85">
        <f ca="1">IF(Watchlist[[#This Row],[Price]]="",Watchlist[[#This Row],[Price history]],CONCATENATE(TEXT(TODAY(),"yyyy-mm-dd"),": ",Watchlist[[#This Row],[Price]],". ",,Watchlist[[#This Row],[Price history]]))</f>
        <v>0</v>
      </c>
      <c r="H85">
        <v>0</v>
      </c>
      <c r="K85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85" s="1">
        <v>0</v>
      </c>
      <c r="M85" s="1"/>
      <c r="N85" s="1"/>
      <c r="O85" s="1"/>
      <c r="P85" s="1"/>
      <c r="Q85" s="44"/>
      <c r="R85" s="44"/>
      <c r="S85" s="1"/>
      <c r="T85" s="1">
        <f ca="1">IF(Watchlist[[#This Row],[Note]]="",Watchlist[[#This Row],[Note History]],CONCATENATE(TEXT(TODAY(),"yyyy-mm-dd"),": ",Watchlist[[#This Row],[Note]],". ",,Watchlist[[#This Row],[Note History]]))</f>
        <v>0</v>
      </c>
      <c r="U85">
        <v>0</v>
      </c>
      <c r="V85" t="str">
        <f>IF(Watchlist[[#This Row],[Ticker ]]="","",IF(Watchlist[[#This Row],[Action]]="Delete","N","Y"))</f>
        <v/>
      </c>
    </row>
    <row r="86" spans="4:22" x14ac:dyDescent="0.5">
      <c r="D86">
        <f ca="1">IF(Watchlist[[#This Row],[Grade]]="",Watchlist[[#This Row],[Grade history]],CONCATENATE(TEXT(TODAY(),"yyyy-mm-dd"),": ",Watchlist[[#This Row],[Grade]],". ",,Watchlist[[#This Row],[Grade history]]))</f>
        <v>0</v>
      </c>
      <c r="E86">
        <v>0</v>
      </c>
      <c r="G86">
        <f ca="1">IF(Watchlist[[#This Row],[Price]]="",Watchlist[[#This Row],[Price history]],CONCATENATE(TEXT(TODAY(),"yyyy-mm-dd"),": ",Watchlist[[#This Row],[Price]],". ",,Watchlist[[#This Row],[Price history]]))</f>
        <v>0</v>
      </c>
      <c r="H86">
        <v>0</v>
      </c>
      <c r="K86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86" s="1">
        <v>0</v>
      </c>
      <c r="M86" s="1"/>
      <c r="N86" s="1"/>
      <c r="O86" s="1"/>
      <c r="P86" s="1"/>
      <c r="Q86" s="44"/>
      <c r="R86" s="44"/>
      <c r="S86" s="1"/>
      <c r="T86" s="1">
        <f ca="1">IF(Watchlist[[#This Row],[Note]]="",Watchlist[[#This Row],[Note History]],CONCATENATE(TEXT(TODAY(),"yyyy-mm-dd"),": ",Watchlist[[#This Row],[Note]],". ",,Watchlist[[#This Row],[Note History]]))</f>
        <v>0</v>
      </c>
      <c r="U86">
        <v>0</v>
      </c>
      <c r="V86" t="str">
        <f>IF(Watchlist[[#This Row],[Ticker ]]="","",IF(Watchlist[[#This Row],[Action]]="Delete","N","Y"))</f>
        <v/>
      </c>
    </row>
    <row r="87" spans="4:22" x14ac:dyDescent="0.5">
      <c r="D87">
        <f ca="1">IF(Watchlist[[#This Row],[Grade]]="",Watchlist[[#This Row],[Grade history]],CONCATENATE(TEXT(TODAY(),"yyyy-mm-dd"),": ",Watchlist[[#This Row],[Grade]],". ",,Watchlist[[#This Row],[Grade history]]))</f>
        <v>0</v>
      </c>
      <c r="E87">
        <v>0</v>
      </c>
      <c r="G87">
        <f ca="1">IF(Watchlist[[#This Row],[Price]]="",Watchlist[[#This Row],[Price history]],CONCATENATE(TEXT(TODAY(),"yyyy-mm-dd"),": ",Watchlist[[#This Row],[Price]],". ",,Watchlist[[#This Row],[Price history]]))</f>
        <v>0</v>
      </c>
      <c r="H87">
        <v>0</v>
      </c>
      <c r="K87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87" s="1">
        <v>0</v>
      </c>
      <c r="M87" s="1"/>
      <c r="N87" s="1"/>
      <c r="O87" s="1"/>
      <c r="P87" s="1"/>
      <c r="Q87" s="44"/>
      <c r="R87" s="44"/>
      <c r="S87" s="1"/>
      <c r="T87" s="1">
        <f ca="1">IF(Watchlist[[#This Row],[Note]]="",Watchlist[[#This Row],[Note History]],CONCATENATE(TEXT(TODAY(),"yyyy-mm-dd"),": ",Watchlist[[#This Row],[Note]],". ",,Watchlist[[#This Row],[Note History]]))</f>
        <v>0</v>
      </c>
      <c r="U87">
        <v>0</v>
      </c>
      <c r="V87" t="str">
        <f>IF(Watchlist[[#This Row],[Ticker ]]="","",IF(Watchlist[[#This Row],[Action]]="Delete","N","Y"))</f>
        <v/>
      </c>
    </row>
    <row r="88" spans="4:22" x14ac:dyDescent="0.5">
      <c r="D88">
        <f ca="1">IF(Watchlist[[#This Row],[Grade]]="",Watchlist[[#This Row],[Grade history]],CONCATENATE(TEXT(TODAY(),"yyyy-mm-dd"),": ",Watchlist[[#This Row],[Grade]],". ",,Watchlist[[#This Row],[Grade history]]))</f>
        <v>0</v>
      </c>
      <c r="E88">
        <v>0</v>
      </c>
      <c r="G88">
        <f ca="1">IF(Watchlist[[#This Row],[Price]]="",Watchlist[[#This Row],[Price history]],CONCATENATE(TEXT(TODAY(),"yyyy-mm-dd"),": ",Watchlist[[#This Row],[Price]],". ",,Watchlist[[#This Row],[Price history]]))</f>
        <v>0</v>
      </c>
      <c r="H88">
        <v>0</v>
      </c>
      <c r="K88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88" s="1">
        <v>0</v>
      </c>
      <c r="M88" s="1"/>
      <c r="N88" s="1"/>
      <c r="O88" s="1"/>
      <c r="P88" s="1"/>
      <c r="Q88" s="44"/>
      <c r="R88" s="44"/>
      <c r="S88" s="1"/>
      <c r="T88" s="1">
        <f ca="1">IF(Watchlist[[#This Row],[Note]]="",Watchlist[[#This Row],[Note History]],CONCATENATE(TEXT(TODAY(),"yyyy-mm-dd"),": ",Watchlist[[#This Row],[Note]],". ",,Watchlist[[#This Row],[Note History]]))</f>
        <v>0</v>
      </c>
      <c r="U88">
        <v>0</v>
      </c>
      <c r="V88" t="str">
        <f>IF(Watchlist[[#This Row],[Ticker ]]="","",IF(Watchlist[[#This Row],[Action]]="Delete","N","Y"))</f>
        <v/>
      </c>
    </row>
    <row r="89" spans="4:22" x14ac:dyDescent="0.5">
      <c r="D89">
        <f ca="1">IF(Watchlist[[#This Row],[Grade]]="",Watchlist[[#This Row],[Grade history]],CONCATENATE(TEXT(TODAY(),"yyyy-mm-dd"),": ",Watchlist[[#This Row],[Grade]],". ",,Watchlist[[#This Row],[Grade history]]))</f>
        <v>0</v>
      </c>
      <c r="E89">
        <v>0</v>
      </c>
      <c r="G89">
        <f ca="1">IF(Watchlist[[#This Row],[Price]]="",Watchlist[[#This Row],[Price history]],CONCATENATE(TEXT(TODAY(),"yyyy-mm-dd"),": ",Watchlist[[#This Row],[Price]],". ",,Watchlist[[#This Row],[Price history]]))</f>
        <v>0</v>
      </c>
      <c r="H89">
        <v>0</v>
      </c>
      <c r="K89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89" s="1">
        <v>0</v>
      </c>
      <c r="M89" s="1"/>
      <c r="N89" s="1"/>
      <c r="O89" s="1"/>
      <c r="P89" s="1"/>
      <c r="Q89" s="44"/>
      <c r="R89" s="44"/>
      <c r="S89" s="1"/>
      <c r="T89" s="1">
        <f ca="1">IF(Watchlist[[#This Row],[Note]]="",Watchlist[[#This Row],[Note History]],CONCATENATE(TEXT(TODAY(),"yyyy-mm-dd"),": ",Watchlist[[#This Row],[Note]],". ",,Watchlist[[#This Row],[Note History]]))</f>
        <v>0</v>
      </c>
      <c r="U89">
        <v>0</v>
      </c>
      <c r="V89" t="str">
        <f>IF(Watchlist[[#This Row],[Ticker ]]="","",IF(Watchlist[[#This Row],[Action]]="Delete","N","Y"))</f>
        <v/>
      </c>
    </row>
    <row r="90" spans="4:22" x14ac:dyDescent="0.5">
      <c r="D90">
        <f ca="1">IF(Watchlist[[#This Row],[Grade]]="",Watchlist[[#This Row],[Grade history]],CONCATENATE(TEXT(TODAY(),"yyyy-mm-dd"),": ",Watchlist[[#This Row],[Grade]],". ",,Watchlist[[#This Row],[Grade history]]))</f>
        <v>0</v>
      </c>
      <c r="E90">
        <v>0</v>
      </c>
      <c r="G90">
        <f ca="1">IF(Watchlist[[#This Row],[Price]]="",Watchlist[[#This Row],[Price history]],CONCATENATE(TEXT(TODAY(),"yyyy-mm-dd"),": ",Watchlist[[#This Row],[Price]],". ",,Watchlist[[#This Row],[Price history]]))</f>
        <v>0</v>
      </c>
      <c r="H90">
        <v>0</v>
      </c>
      <c r="K90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90" s="1">
        <v>0</v>
      </c>
      <c r="M90" s="1"/>
      <c r="N90" s="1"/>
      <c r="O90" s="1"/>
      <c r="P90" s="1"/>
      <c r="Q90" s="44"/>
      <c r="R90" s="44"/>
      <c r="S90" s="1"/>
      <c r="T90" s="1">
        <f ca="1">IF(Watchlist[[#This Row],[Note]]="",Watchlist[[#This Row],[Note History]],CONCATENATE(TEXT(TODAY(),"yyyy-mm-dd"),": ",Watchlist[[#This Row],[Note]],". ",,Watchlist[[#This Row],[Note History]]))</f>
        <v>0</v>
      </c>
      <c r="U90">
        <v>0</v>
      </c>
      <c r="V90" t="str">
        <f>IF(Watchlist[[#This Row],[Ticker ]]="","",IF(Watchlist[[#This Row],[Action]]="Delete","N","Y"))</f>
        <v/>
      </c>
    </row>
    <row r="91" spans="4:22" x14ac:dyDescent="0.5">
      <c r="D91">
        <f ca="1">IF(Watchlist[[#This Row],[Grade]]="",Watchlist[[#This Row],[Grade history]],CONCATENATE(TEXT(TODAY(),"yyyy-mm-dd"),": ",Watchlist[[#This Row],[Grade]],". ",,Watchlist[[#This Row],[Grade history]]))</f>
        <v>0</v>
      </c>
      <c r="E91">
        <v>0</v>
      </c>
      <c r="G91">
        <f ca="1">IF(Watchlist[[#This Row],[Price]]="",Watchlist[[#This Row],[Price history]],CONCATENATE(TEXT(TODAY(),"yyyy-mm-dd"),": ",Watchlist[[#This Row],[Price]],". ",,Watchlist[[#This Row],[Price history]]))</f>
        <v>0</v>
      </c>
      <c r="H91">
        <v>0</v>
      </c>
      <c r="K91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91" s="1">
        <v>0</v>
      </c>
      <c r="M91" s="1"/>
      <c r="N91" s="1"/>
      <c r="O91" s="1"/>
      <c r="P91" s="1"/>
      <c r="Q91" s="44"/>
      <c r="R91" s="44"/>
      <c r="S91" s="1"/>
      <c r="T91" s="1">
        <f ca="1">IF(Watchlist[[#This Row],[Note]]="",Watchlist[[#This Row],[Note History]],CONCATENATE(TEXT(TODAY(),"yyyy-mm-dd"),": ",Watchlist[[#This Row],[Note]],". ",,Watchlist[[#This Row],[Note History]]))</f>
        <v>0</v>
      </c>
      <c r="U91">
        <v>0</v>
      </c>
      <c r="V91" t="str">
        <f>IF(Watchlist[[#This Row],[Ticker ]]="","",IF(Watchlist[[#This Row],[Action]]="Delete","N","Y"))</f>
        <v/>
      </c>
    </row>
    <row r="92" spans="4:22" x14ac:dyDescent="0.5">
      <c r="D92">
        <f ca="1">IF(Watchlist[[#This Row],[Grade]]="",Watchlist[[#This Row],[Grade history]],CONCATENATE(TEXT(TODAY(),"yyyy-mm-dd"),": ",Watchlist[[#This Row],[Grade]],". ",,Watchlist[[#This Row],[Grade history]]))</f>
        <v>0</v>
      </c>
      <c r="E92">
        <v>0</v>
      </c>
      <c r="G92">
        <f ca="1">IF(Watchlist[[#This Row],[Price]]="",Watchlist[[#This Row],[Price history]],CONCATENATE(TEXT(TODAY(),"yyyy-mm-dd"),": ",Watchlist[[#This Row],[Price]],". ",,Watchlist[[#This Row],[Price history]]))</f>
        <v>0</v>
      </c>
      <c r="H92">
        <v>0</v>
      </c>
      <c r="K92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92" s="1">
        <v>0</v>
      </c>
      <c r="M92" s="1"/>
      <c r="N92" s="1"/>
      <c r="O92" s="1"/>
      <c r="P92" s="1"/>
      <c r="Q92" s="44"/>
      <c r="R92" s="44"/>
      <c r="S92" s="1"/>
      <c r="T92" s="1">
        <f ca="1">IF(Watchlist[[#This Row],[Note]]="",Watchlist[[#This Row],[Note History]],CONCATENATE(TEXT(TODAY(),"yyyy-mm-dd"),": ",Watchlist[[#This Row],[Note]],". ",,Watchlist[[#This Row],[Note History]]))</f>
        <v>0</v>
      </c>
      <c r="U92">
        <v>0</v>
      </c>
      <c r="V92" t="str">
        <f>IF(Watchlist[[#This Row],[Ticker ]]="","",IF(Watchlist[[#This Row],[Action]]="Delete","N","Y"))</f>
        <v/>
      </c>
    </row>
    <row r="93" spans="4:22" x14ac:dyDescent="0.5">
      <c r="D93">
        <f ca="1">IF(Watchlist[[#This Row],[Grade]]="",Watchlist[[#This Row],[Grade history]],CONCATENATE(TEXT(TODAY(),"yyyy-mm-dd"),": ",Watchlist[[#This Row],[Grade]],". ",,Watchlist[[#This Row],[Grade history]]))</f>
        <v>0</v>
      </c>
      <c r="E93">
        <v>0</v>
      </c>
      <c r="G93">
        <f ca="1">IF(Watchlist[[#This Row],[Price]]="",Watchlist[[#This Row],[Price history]],CONCATENATE(TEXT(TODAY(),"yyyy-mm-dd"),": ",Watchlist[[#This Row],[Price]],". ",,Watchlist[[#This Row],[Price history]]))</f>
        <v>0</v>
      </c>
      <c r="H93">
        <v>0</v>
      </c>
      <c r="K93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93" s="1">
        <v>0</v>
      </c>
      <c r="M93" s="1"/>
      <c r="N93" s="1"/>
      <c r="O93" s="1"/>
      <c r="P93" s="1"/>
      <c r="Q93" s="44"/>
      <c r="R93" s="44"/>
      <c r="S93" s="1"/>
      <c r="T93" s="1">
        <f ca="1">IF(Watchlist[[#This Row],[Note]]="",Watchlist[[#This Row],[Note History]],CONCATENATE(TEXT(TODAY(),"yyyy-mm-dd"),": ",Watchlist[[#This Row],[Note]],". ",,Watchlist[[#This Row],[Note History]]))</f>
        <v>0</v>
      </c>
      <c r="U93">
        <v>0</v>
      </c>
      <c r="V93" t="str">
        <f>IF(Watchlist[[#This Row],[Ticker ]]="","",IF(Watchlist[[#This Row],[Action]]="Delete","N","Y"))</f>
        <v/>
      </c>
    </row>
    <row r="94" spans="4:22" x14ac:dyDescent="0.5">
      <c r="D94">
        <f ca="1">IF(Watchlist[[#This Row],[Grade]]="",Watchlist[[#This Row],[Grade history]],CONCATENATE(TEXT(TODAY(),"yyyy-mm-dd"),": ",Watchlist[[#This Row],[Grade]],". ",,Watchlist[[#This Row],[Grade history]]))</f>
        <v>0</v>
      </c>
      <c r="E94">
        <v>0</v>
      </c>
      <c r="G94">
        <f ca="1">IF(Watchlist[[#This Row],[Price]]="",Watchlist[[#This Row],[Price history]],CONCATENATE(TEXT(TODAY(),"yyyy-mm-dd"),": ",Watchlist[[#This Row],[Price]],". ",,Watchlist[[#This Row],[Price history]]))</f>
        <v>0</v>
      </c>
      <c r="H94">
        <v>0</v>
      </c>
      <c r="K94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94" s="1">
        <v>0</v>
      </c>
      <c r="M94" s="1"/>
      <c r="N94" s="1"/>
      <c r="O94" s="1"/>
      <c r="P94" s="1"/>
      <c r="Q94" s="44"/>
      <c r="R94" s="44"/>
      <c r="S94" s="1"/>
      <c r="T94" s="1">
        <f ca="1">IF(Watchlist[[#This Row],[Note]]="",Watchlist[[#This Row],[Note History]],CONCATENATE(TEXT(TODAY(),"yyyy-mm-dd"),": ",Watchlist[[#This Row],[Note]],". ",,Watchlist[[#This Row],[Note History]]))</f>
        <v>0</v>
      </c>
      <c r="U94">
        <v>0</v>
      </c>
      <c r="V94" t="str">
        <f>IF(Watchlist[[#This Row],[Ticker ]]="","",IF(Watchlist[[#This Row],[Action]]="Delete","N","Y"))</f>
        <v/>
      </c>
    </row>
    <row r="95" spans="4:22" x14ac:dyDescent="0.5">
      <c r="D95">
        <f ca="1">IF(Watchlist[[#This Row],[Grade]]="",Watchlist[[#This Row],[Grade history]],CONCATENATE(TEXT(TODAY(),"yyyy-mm-dd"),": ",Watchlist[[#This Row],[Grade]],". ",,Watchlist[[#This Row],[Grade history]]))</f>
        <v>0</v>
      </c>
      <c r="E95">
        <v>0</v>
      </c>
      <c r="G95">
        <f ca="1">IF(Watchlist[[#This Row],[Price]]="",Watchlist[[#This Row],[Price history]],CONCATENATE(TEXT(TODAY(),"yyyy-mm-dd"),": ",Watchlist[[#This Row],[Price]],". ",,Watchlist[[#This Row],[Price history]]))</f>
        <v>0</v>
      </c>
      <c r="H95">
        <v>0</v>
      </c>
      <c r="K95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95" s="1">
        <v>0</v>
      </c>
      <c r="M95" s="1"/>
      <c r="N95" s="1"/>
      <c r="O95" s="1"/>
      <c r="P95" s="1"/>
      <c r="Q95" s="44"/>
      <c r="R95" s="44"/>
      <c r="S95" s="1"/>
      <c r="T95" s="1">
        <f ca="1">IF(Watchlist[[#This Row],[Note]]="",Watchlist[[#This Row],[Note History]],CONCATENATE(TEXT(TODAY(),"yyyy-mm-dd"),": ",Watchlist[[#This Row],[Note]],". ",,Watchlist[[#This Row],[Note History]]))</f>
        <v>0</v>
      </c>
      <c r="U95">
        <v>0</v>
      </c>
      <c r="V95" t="str">
        <f>IF(Watchlist[[#This Row],[Ticker ]]="","",IF(Watchlist[[#This Row],[Action]]="Delete","N","Y"))</f>
        <v/>
      </c>
    </row>
    <row r="96" spans="4:22" x14ac:dyDescent="0.5">
      <c r="D96">
        <f ca="1">IF(Watchlist[[#This Row],[Grade]]="",Watchlist[[#This Row],[Grade history]],CONCATENATE(TEXT(TODAY(),"yyyy-mm-dd"),": ",Watchlist[[#This Row],[Grade]],". ",,Watchlist[[#This Row],[Grade history]]))</f>
        <v>0</v>
      </c>
      <c r="E96">
        <v>0</v>
      </c>
      <c r="G96">
        <f ca="1">IF(Watchlist[[#This Row],[Price]]="",Watchlist[[#This Row],[Price history]],CONCATENATE(TEXT(TODAY(),"yyyy-mm-dd"),": ",Watchlist[[#This Row],[Price]],". ",,Watchlist[[#This Row],[Price history]]))</f>
        <v>0</v>
      </c>
      <c r="H96">
        <v>0</v>
      </c>
      <c r="K96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96" s="1">
        <v>0</v>
      </c>
      <c r="M96" s="1"/>
      <c r="N96" s="1"/>
      <c r="O96" s="1"/>
      <c r="P96" s="1"/>
      <c r="Q96" s="44"/>
      <c r="R96" s="44"/>
      <c r="S96" s="1"/>
      <c r="T96" s="1">
        <f ca="1">IF(Watchlist[[#This Row],[Note]]="",Watchlist[[#This Row],[Note History]],CONCATENATE(TEXT(TODAY(),"yyyy-mm-dd"),": ",Watchlist[[#This Row],[Note]],". ",,Watchlist[[#This Row],[Note History]]))</f>
        <v>0</v>
      </c>
      <c r="U96">
        <v>0</v>
      </c>
      <c r="V96" t="str">
        <f>IF(Watchlist[[#This Row],[Ticker ]]="","",IF(Watchlist[[#This Row],[Action]]="Delete","N","Y"))</f>
        <v/>
      </c>
    </row>
    <row r="97" spans="4:22" x14ac:dyDescent="0.5">
      <c r="D97">
        <f ca="1">IF(Watchlist[[#This Row],[Grade]]="",Watchlist[[#This Row],[Grade history]],CONCATENATE(TEXT(TODAY(),"yyyy-mm-dd"),": ",Watchlist[[#This Row],[Grade]],". ",,Watchlist[[#This Row],[Grade history]]))</f>
        <v>0</v>
      </c>
      <c r="E97">
        <v>0</v>
      </c>
      <c r="G97">
        <f ca="1">IF(Watchlist[[#This Row],[Price]]="",Watchlist[[#This Row],[Price history]],CONCATENATE(TEXT(TODAY(),"yyyy-mm-dd"),": ",Watchlist[[#This Row],[Price]],". ",,Watchlist[[#This Row],[Price history]]))</f>
        <v>0</v>
      </c>
      <c r="H97">
        <v>0</v>
      </c>
      <c r="K97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97" s="1">
        <v>0</v>
      </c>
      <c r="M97" s="1"/>
      <c r="N97" s="1"/>
      <c r="O97" s="1"/>
      <c r="P97" s="1"/>
      <c r="Q97" s="44"/>
      <c r="R97" s="44"/>
      <c r="S97" s="1"/>
      <c r="T97" s="1">
        <f ca="1">IF(Watchlist[[#This Row],[Note]]="",Watchlist[[#This Row],[Note History]],CONCATENATE(TEXT(TODAY(),"yyyy-mm-dd"),": ",Watchlist[[#This Row],[Note]],". ",,Watchlist[[#This Row],[Note History]]))</f>
        <v>0</v>
      </c>
      <c r="U97">
        <v>0</v>
      </c>
      <c r="V97" t="str">
        <f>IF(Watchlist[[#This Row],[Ticker ]]="","",IF(Watchlist[[#This Row],[Action]]="Delete","N","Y"))</f>
        <v/>
      </c>
    </row>
    <row r="98" spans="4:22" x14ac:dyDescent="0.5">
      <c r="D98">
        <f ca="1">IF(Watchlist[[#This Row],[Grade]]="",Watchlist[[#This Row],[Grade history]],CONCATENATE(TEXT(TODAY(),"yyyy-mm-dd"),": ",Watchlist[[#This Row],[Grade]],". ",,Watchlist[[#This Row],[Grade history]]))</f>
        <v>0</v>
      </c>
      <c r="E98">
        <v>0</v>
      </c>
      <c r="G98">
        <f ca="1">IF(Watchlist[[#This Row],[Price]]="",Watchlist[[#This Row],[Price history]],CONCATENATE(TEXT(TODAY(),"yyyy-mm-dd"),": ",Watchlist[[#This Row],[Price]],". ",,Watchlist[[#This Row],[Price history]]))</f>
        <v>0</v>
      </c>
      <c r="H98">
        <v>0</v>
      </c>
      <c r="K98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98" s="1">
        <v>0</v>
      </c>
      <c r="M98" s="1"/>
      <c r="N98" s="1"/>
      <c r="O98" s="1"/>
      <c r="P98" s="1"/>
      <c r="Q98" s="44"/>
      <c r="R98" s="44"/>
      <c r="S98" s="1"/>
      <c r="T98" s="1">
        <f ca="1">IF(Watchlist[[#This Row],[Note]]="",Watchlist[[#This Row],[Note History]],CONCATENATE(TEXT(TODAY(),"yyyy-mm-dd"),": ",Watchlist[[#This Row],[Note]],". ",,Watchlist[[#This Row],[Note History]]))</f>
        <v>0</v>
      </c>
      <c r="U98">
        <v>0</v>
      </c>
      <c r="V98" t="str">
        <f>IF(Watchlist[[#This Row],[Ticker ]]="","",IF(Watchlist[[#This Row],[Action]]="Delete","N","Y"))</f>
        <v/>
      </c>
    </row>
    <row r="99" spans="4:22" x14ac:dyDescent="0.5">
      <c r="D99">
        <f ca="1">IF(Watchlist[[#This Row],[Grade]]="",Watchlist[[#This Row],[Grade history]],CONCATENATE(TEXT(TODAY(),"yyyy-mm-dd"),": ",Watchlist[[#This Row],[Grade]],". ",,Watchlist[[#This Row],[Grade history]]))</f>
        <v>0</v>
      </c>
      <c r="E99">
        <v>0</v>
      </c>
      <c r="G99">
        <f ca="1">IF(Watchlist[[#This Row],[Price]]="",Watchlist[[#This Row],[Price history]],CONCATENATE(TEXT(TODAY(),"yyyy-mm-dd"),": ",Watchlist[[#This Row],[Price]],". ",,Watchlist[[#This Row],[Price history]]))</f>
        <v>0</v>
      </c>
      <c r="H99">
        <v>0</v>
      </c>
      <c r="K99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99" s="1">
        <v>0</v>
      </c>
      <c r="M99" s="1"/>
      <c r="N99" s="1"/>
      <c r="O99" s="1"/>
      <c r="P99" s="1"/>
      <c r="Q99" s="44"/>
      <c r="R99" s="44"/>
      <c r="S99" s="1"/>
      <c r="T99" s="1">
        <f ca="1">IF(Watchlist[[#This Row],[Note]]="",Watchlist[[#This Row],[Note History]],CONCATENATE(TEXT(TODAY(),"yyyy-mm-dd"),": ",Watchlist[[#This Row],[Note]],". ",,Watchlist[[#This Row],[Note History]]))</f>
        <v>0</v>
      </c>
      <c r="U99">
        <v>0</v>
      </c>
      <c r="V99" t="str">
        <f>IF(Watchlist[[#This Row],[Ticker ]]="","",IF(Watchlist[[#This Row],[Action]]="Delete","N","Y"))</f>
        <v/>
      </c>
    </row>
    <row r="100" spans="4:22" x14ac:dyDescent="0.5">
      <c r="D100">
        <f ca="1">IF(Watchlist[[#This Row],[Grade]]="",Watchlist[[#This Row],[Grade history]],CONCATENATE(TEXT(TODAY(),"yyyy-mm-dd"),": ",Watchlist[[#This Row],[Grade]],". ",,Watchlist[[#This Row],[Grade history]]))</f>
        <v>0</v>
      </c>
      <c r="E100">
        <v>0</v>
      </c>
      <c r="G100">
        <f ca="1">IF(Watchlist[[#This Row],[Price]]="",Watchlist[[#This Row],[Price history]],CONCATENATE(TEXT(TODAY(),"yyyy-mm-dd"),": ",Watchlist[[#This Row],[Price]],". ",,Watchlist[[#This Row],[Price history]]))</f>
        <v>0</v>
      </c>
      <c r="H100">
        <v>0</v>
      </c>
      <c r="K100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00" s="1">
        <v>0</v>
      </c>
      <c r="M100" s="1"/>
      <c r="N100" s="1"/>
      <c r="O100" s="1"/>
      <c r="P100" s="1"/>
      <c r="Q100" s="44"/>
      <c r="R100" s="44"/>
      <c r="S100" s="1"/>
      <c r="T100" s="1">
        <f ca="1">IF(Watchlist[[#This Row],[Note]]="",Watchlist[[#This Row],[Note History]],CONCATENATE(TEXT(TODAY(),"yyyy-mm-dd"),": ",Watchlist[[#This Row],[Note]],". ",,Watchlist[[#This Row],[Note History]]))</f>
        <v>0</v>
      </c>
      <c r="U100">
        <v>0</v>
      </c>
      <c r="V100" t="str">
        <f>IF(Watchlist[[#This Row],[Ticker ]]="","",IF(Watchlist[[#This Row],[Action]]="Delete","N","Y"))</f>
        <v/>
      </c>
    </row>
    <row r="101" spans="4:22" x14ac:dyDescent="0.5">
      <c r="D101">
        <f ca="1">IF(Watchlist[[#This Row],[Grade]]="",Watchlist[[#This Row],[Grade history]],CONCATENATE(TEXT(TODAY(),"yyyy-mm-dd"),": ",Watchlist[[#This Row],[Grade]],". ",,Watchlist[[#This Row],[Grade history]]))</f>
        <v>0</v>
      </c>
      <c r="E101">
        <v>0</v>
      </c>
      <c r="G101">
        <f ca="1">IF(Watchlist[[#This Row],[Price]]="",Watchlist[[#This Row],[Price history]],CONCATENATE(TEXT(TODAY(),"yyyy-mm-dd"),": ",Watchlist[[#This Row],[Price]],". ",,Watchlist[[#This Row],[Price history]]))</f>
        <v>0</v>
      </c>
      <c r="H101">
        <v>0</v>
      </c>
      <c r="K101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01" s="1">
        <v>0</v>
      </c>
      <c r="M101" s="1"/>
      <c r="N101" s="1"/>
      <c r="O101" s="1"/>
      <c r="P101" s="1"/>
      <c r="Q101" s="44"/>
      <c r="R101" s="44"/>
      <c r="S101" s="1"/>
      <c r="T101" s="1">
        <f ca="1">IF(Watchlist[[#This Row],[Note]]="",Watchlist[[#This Row],[Note History]],CONCATENATE(TEXT(TODAY(),"yyyy-mm-dd"),": ",Watchlist[[#This Row],[Note]],". ",,Watchlist[[#This Row],[Note History]]))</f>
        <v>0</v>
      </c>
      <c r="U101">
        <v>0</v>
      </c>
      <c r="V101" t="str">
        <f>IF(Watchlist[[#This Row],[Ticker ]]="","",IF(Watchlist[[#This Row],[Action]]="Delete","N","Y"))</f>
        <v/>
      </c>
    </row>
    <row r="102" spans="4:22" x14ac:dyDescent="0.5">
      <c r="D102">
        <f ca="1">IF(Watchlist[[#This Row],[Grade]]="",Watchlist[[#This Row],[Grade history]],CONCATENATE(TEXT(TODAY(),"yyyy-mm-dd"),": ",Watchlist[[#This Row],[Grade]],". ",,Watchlist[[#This Row],[Grade history]]))</f>
        <v>0</v>
      </c>
      <c r="E102">
        <v>0</v>
      </c>
      <c r="G102">
        <f ca="1">IF(Watchlist[[#This Row],[Price]]="",Watchlist[[#This Row],[Price history]],CONCATENATE(TEXT(TODAY(),"yyyy-mm-dd"),": ",Watchlist[[#This Row],[Price]],". ",,Watchlist[[#This Row],[Price history]]))</f>
        <v>0</v>
      </c>
      <c r="H102">
        <v>0</v>
      </c>
      <c r="K102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02" s="1">
        <v>0</v>
      </c>
      <c r="M102" s="1"/>
      <c r="N102" s="1"/>
      <c r="O102" s="1"/>
      <c r="P102" s="1"/>
      <c r="Q102" s="44"/>
      <c r="R102" s="44"/>
      <c r="S102" s="1"/>
      <c r="T102" s="1">
        <f ca="1">IF(Watchlist[[#This Row],[Note]]="",Watchlist[[#This Row],[Note History]],CONCATENATE(TEXT(TODAY(),"yyyy-mm-dd"),": ",Watchlist[[#This Row],[Note]],". ",,Watchlist[[#This Row],[Note History]]))</f>
        <v>0</v>
      </c>
      <c r="U102">
        <v>0</v>
      </c>
      <c r="V102" t="str">
        <f>IF(Watchlist[[#This Row],[Ticker ]]="","",IF(Watchlist[[#This Row],[Action]]="Delete","N","Y"))</f>
        <v/>
      </c>
    </row>
    <row r="103" spans="4:22" x14ac:dyDescent="0.5">
      <c r="D103">
        <f ca="1">IF(Watchlist[[#This Row],[Grade]]="",Watchlist[[#This Row],[Grade history]],CONCATENATE(TEXT(TODAY(),"yyyy-mm-dd"),": ",Watchlist[[#This Row],[Grade]],". ",,Watchlist[[#This Row],[Grade history]]))</f>
        <v>0</v>
      </c>
      <c r="E103">
        <v>0</v>
      </c>
      <c r="G103">
        <f ca="1">IF(Watchlist[[#This Row],[Price]]="",Watchlist[[#This Row],[Price history]],CONCATENATE(TEXT(TODAY(),"yyyy-mm-dd"),": ",Watchlist[[#This Row],[Price]],". ",,Watchlist[[#This Row],[Price history]]))</f>
        <v>0</v>
      </c>
      <c r="H103">
        <v>0</v>
      </c>
      <c r="K103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03" s="1">
        <v>0</v>
      </c>
      <c r="M103" s="1"/>
      <c r="N103" s="1"/>
      <c r="O103" s="1"/>
      <c r="P103" s="1"/>
      <c r="Q103" s="44"/>
      <c r="R103" s="44"/>
      <c r="S103" s="1"/>
      <c r="T103" s="1">
        <f ca="1">IF(Watchlist[[#This Row],[Note]]="",Watchlist[[#This Row],[Note History]],CONCATENATE(TEXT(TODAY(),"yyyy-mm-dd"),": ",Watchlist[[#This Row],[Note]],". ",,Watchlist[[#This Row],[Note History]]))</f>
        <v>0</v>
      </c>
      <c r="U103">
        <v>0</v>
      </c>
      <c r="V103" t="str">
        <f>IF(Watchlist[[#This Row],[Ticker ]]="","",IF(Watchlist[[#This Row],[Action]]="Delete","N","Y"))</f>
        <v/>
      </c>
    </row>
    <row r="104" spans="4:22" x14ac:dyDescent="0.5">
      <c r="D104">
        <f ca="1">IF(Watchlist[[#This Row],[Grade]]="",Watchlist[[#This Row],[Grade history]],CONCATENATE(TEXT(TODAY(),"yyyy-mm-dd"),": ",Watchlist[[#This Row],[Grade]],". ",,Watchlist[[#This Row],[Grade history]]))</f>
        <v>0</v>
      </c>
      <c r="E104">
        <v>0</v>
      </c>
      <c r="G104">
        <f ca="1">IF(Watchlist[[#This Row],[Price]]="",Watchlist[[#This Row],[Price history]],CONCATENATE(TEXT(TODAY(),"yyyy-mm-dd"),": ",Watchlist[[#This Row],[Price]],". ",,Watchlist[[#This Row],[Price history]]))</f>
        <v>0</v>
      </c>
      <c r="H104">
        <v>0</v>
      </c>
      <c r="K104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04" s="1">
        <v>0</v>
      </c>
      <c r="M104" s="1"/>
      <c r="N104" s="1"/>
      <c r="O104" s="1"/>
      <c r="P104" s="1"/>
      <c r="Q104" s="44"/>
      <c r="R104" s="44"/>
      <c r="S104" s="1"/>
      <c r="T104" s="1">
        <f ca="1">IF(Watchlist[[#This Row],[Note]]="",Watchlist[[#This Row],[Note History]],CONCATENATE(TEXT(TODAY(),"yyyy-mm-dd"),": ",Watchlist[[#This Row],[Note]],". ",,Watchlist[[#This Row],[Note History]]))</f>
        <v>0</v>
      </c>
      <c r="U104">
        <v>0</v>
      </c>
      <c r="V104" t="str">
        <f>IF(Watchlist[[#This Row],[Ticker ]]="","",IF(Watchlist[[#This Row],[Action]]="Delete","N","Y"))</f>
        <v/>
      </c>
    </row>
    <row r="105" spans="4:22" x14ac:dyDescent="0.5">
      <c r="D105">
        <f ca="1">IF(Watchlist[[#This Row],[Grade]]="",Watchlist[[#This Row],[Grade history]],CONCATENATE(TEXT(TODAY(),"yyyy-mm-dd"),": ",Watchlist[[#This Row],[Grade]],". ",,Watchlist[[#This Row],[Grade history]]))</f>
        <v>0</v>
      </c>
      <c r="E105">
        <v>0</v>
      </c>
      <c r="G105">
        <f ca="1">IF(Watchlist[[#This Row],[Price]]="",Watchlist[[#This Row],[Price history]],CONCATENATE(TEXT(TODAY(),"yyyy-mm-dd"),": ",Watchlist[[#This Row],[Price]],". ",,Watchlist[[#This Row],[Price history]]))</f>
        <v>0</v>
      </c>
      <c r="H105">
        <v>0</v>
      </c>
      <c r="K105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05" s="1">
        <v>0</v>
      </c>
      <c r="M105" s="1"/>
      <c r="N105" s="1"/>
      <c r="O105" s="1"/>
      <c r="P105" s="1"/>
      <c r="Q105" s="44"/>
      <c r="R105" s="44"/>
      <c r="S105" s="1"/>
      <c r="T105" s="1">
        <f ca="1">IF(Watchlist[[#This Row],[Note]]="",Watchlist[[#This Row],[Note History]],CONCATENATE(TEXT(TODAY(),"yyyy-mm-dd"),": ",Watchlist[[#This Row],[Note]],". ",,Watchlist[[#This Row],[Note History]]))</f>
        <v>0</v>
      </c>
      <c r="U105">
        <v>0</v>
      </c>
      <c r="V105" t="str">
        <f>IF(Watchlist[[#This Row],[Ticker ]]="","",IF(Watchlist[[#This Row],[Action]]="Delete","N","Y"))</f>
        <v/>
      </c>
    </row>
    <row r="106" spans="4:22" x14ac:dyDescent="0.5">
      <c r="D106">
        <f ca="1">IF(Watchlist[[#This Row],[Grade]]="",Watchlist[[#This Row],[Grade history]],CONCATENATE(TEXT(TODAY(),"yyyy-mm-dd"),": ",Watchlist[[#This Row],[Grade]],". ",,Watchlist[[#This Row],[Grade history]]))</f>
        <v>0</v>
      </c>
      <c r="E106">
        <v>0</v>
      </c>
      <c r="G106">
        <f ca="1">IF(Watchlist[[#This Row],[Price]]="",Watchlist[[#This Row],[Price history]],CONCATENATE(TEXT(TODAY(),"yyyy-mm-dd"),": ",Watchlist[[#This Row],[Price]],". ",,Watchlist[[#This Row],[Price history]]))</f>
        <v>0</v>
      </c>
      <c r="H106">
        <v>0</v>
      </c>
      <c r="K106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06" s="1">
        <v>0</v>
      </c>
      <c r="M106" s="1"/>
      <c r="N106" s="1"/>
      <c r="O106" s="1"/>
      <c r="P106" s="1"/>
      <c r="Q106" s="44"/>
      <c r="R106" s="44"/>
      <c r="S106" s="1"/>
      <c r="T106" s="1">
        <f ca="1">IF(Watchlist[[#This Row],[Note]]="",Watchlist[[#This Row],[Note History]],CONCATENATE(TEXT(TODAY(),"yyyy-mm-dd"),": ",Watchlist[[#This Row],[Note]],". ",,Watchlist[[#This Row],[Note History]]))</f>
        <v>0</v>
      </c>
      <c r="U106">
        <v>0</v>
      </c>
      <c r="V106" t="str">
        <f>IF(Watchlist[[#This Row],[Ticker ]]="","",IF(Watchlist[[#This Row],[Action]]="Delete","N","Y"))</f>
        <v/>
      </c>
    </row>
    <row r="107" spans="4:22" x14ac:dyDescent="0.5">
      <c r="D107">
        <f ca="1">IF(Watchlist[[#This Row],[Grade]]="",Watchlist[[#This Row],[Grade history]],CONCATENATE(TEXT(TODAY(),"yyyy-mm-dd"),": ",Watchlist[[#This Row],[Grade]],". ",,Watchlist[[#This Row],[Grade history]]))</f>
        <v>0</v>
      </c>
      <c r="E107">
        <v>0</v>
      </c>
      <c r="G107">
        <f ca="1">IF(Watchlist[[#This Row],[Price]]="",Watchlist[[#This Row],[Price history]],CONCATENATE(TEXT(TODAY(),"yyyy-mm-dd"),": ",Watchlist[[#This Row],[Price]],". ",,Watchlist[[#This Row],[Price history]]))</f>
        <v>0</v>
      </c>
      <c r="H107">
        <v>0</v>
      </c>
      <c r="K107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07" s="1">
        <v>0</v>
      </c>
      <c r="M107" s="1"/>
      <c r="N107" s="1"/>
      <c r="O107" s="1"/>
      <c r="P107" s="1"/>
      <c r="Q107" s="44"/>
      <c r="R107" s="44"/>
      <c r="S107" s="1"/>
      <c r="T107" s="1">
        <f ca="1">IF(Watchlist[[#This Row],[Note]]="",Watchlist[[#This Row],[Note History]],CONCATENATE(TEXT(TODAY(),"yyyy-mm-dd"),": ",Watchlist[[#This Row],[Note]],". ",,Watchlist[[#This Row],[Note History]]))</f>
        <v>0</v>
      </c>
      <c r="U107">
        <v>0</v>
      </c>
      <c r="V107" t="str">
        <f>IF(Watchlist[[#This Row],[Ticker ]]="","",IF(Watchlist[[#This Row],[Action]]="Delete","N","Y"))</f>
        <v/>
      </c>
    </row>
    <row r="108" spans="4:22" x14ac:dyDescent="0.5">
      <c r="D108">
        <f ca="1">IF(Watchlist[[#This Row],[Grade]]="",Watchlist[[#This Row],[Grade history]],CONCATENATE(TEXT(TODAY(),"yyyy-mm-dd"),": ",Watchlist[[#This Row],[Grade]],". ",,Watchlist[[#This Row],[Grade history]]))</f>
        <v>0</v>
      </c>
      <c r="E108">
        <v>0</v>
      </c>
      <c r="G108">
        <f ca="1">IF(Watchlist[[#This Row],[Price]]="",Watchlist[[#This Row],[Price history]],CONCATENATE(TEXT(TODAY(),"yyyy-mm-dd"),": ",Watchlist[[#This Row],[Price]],". ",,Watchlist[[#This Row],[Price history]]))</f>
        <v>0</v>
      </c>
      <c r="H108">
        <v>0</v>
      </c>
      <c r="K108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08" s="1">
        <v>0</v>
      </c>
      <c r="M108" s="1"/>
      <c r="N108" s="1"/>
      <c r="O108" s="1"/>
      <c r="P108" s="1"/>
      <c r="Q108" s="44"/>
      <c r="R108" s="44"/>
      <c r="S108" s="1"/>
      <c r="T108" s="1">
        <f ca="1">IF(Watchlist[[#This Row],[Note]]="",Watchlist[[#This Row],[Note History]],CONCATENATE(TEXT(TODAY(),"yyyy-mm-dd"),": ",Watchlist[[#This Row],[Note]],". ",,Watchlist[[#This Row],[Note History]]))</f>
        <v>0</v>
      </c>
      <c r="U108">
        <v>0</v>
      </c>
      <c r="V108" t="str">
        <f>IF(Watchlist[[#This Row],[Ticker ]]="","",IF(Watchlist[[#This Row],[Action]]="Delete","N","Y"))</f>
        <v/>
      </c>
    </row>
    <row r="109" spans="4:22" x14ac:dyDescent="0.5">
      <c r="D109">
        <f ca="1">IF(Watchlist[[#This Row],[Grade]]="",Watchlist[[#This Row],[Grade history]],CONCATENATE(TEXT(TODAY(),"yyyy-mm-dd"),": ",Watchlist[[#This Row],[Grade]],". ",,Watchlist[[#This Row],[Grade history]]))</f>
        <v>0</v>
      </c>
      <c r="E109">
        <v>0</v>
      </c>
      <c r="G109">
        <f ca="1">IF(Watchlist[[#This Row],[Price]]="",Watchlist[[#This Row],[Price history]],CONCATENATE(TEXT(TODAY(),"yyyy-mm-dd"),": ",Watchlist[[#This Row],[Price]],". ",,Watchlist[[#This Row],[Price history]]))</f>
        <v>0</v>
      </c>
      <c r="H109">
        <v>0</v>
      </c>
      <c r="K109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09" s="1">
        <v>0</v>
      </c>
      <c r="M109" s="1"/>
      <c r="N109" s="1"/>
      <c r="O109" s="1"/>
      <c r="P109" s="1"/>
      <c r="Q109" s="44"/>
      <c r="R109" s="44"/>
      <c r="S109" s="1"/>
      <c r="T109" s="1">
        <f ca="1">IF(Watchlist[[#This Row],[Note]]="",Watchlist[[#This Row],[Note History]],CONCATENATE(TEXT(TODAY(),"yyyy-mm-dd"),": ",Watchlist[[#This Row],[Note]],". ",,Watchlist[[#This Row],[Note History]]))</f>
        <v>0</v>
      </c>
      <c r="U109">
        <v>0</v>
      </c>
      <c r="V109" t="str">
        <f>IF(Watchlist[[#This Row],[Ticker ]]="","",IF(Watchlist[[#This Row],[Action]]="Delete","N","Y"))</f>
        <v/>
      </c>
    </row>
    <row r="110" spans="4:22" x14ac:dyDescent="0.5">
      <c r="D110">
        <f ca="1">IF(Watchlist[[#This Row],[Grade]]="",Watchlist[[#This Row],[Grade history]],CONCATENATE(TEXT(TODAY(),"yyyy-mm-dd"),": ",Watchlist[[#This Row],[Grade]],". ",,Watchlist[[#This Row],[Grade history]]))</f>
        <v>0</v>
      </c>
      <c r="E110">
        <v>0</v>
      </c>
      <c r="G110">
        <f ca="1">IF(Watchlist[[#This Row],[Price]]="",Watchlist[[#This Row],[Price history]],CONCATENATE(TEXT(TODAY(),"yyyy-mm-dd"),": ",Watchlist[[#This Row],[Price]],". ",,Watchlist[[#This Row],[Price history]]))</f>
        <v>0</v>
      </c>
      <c r="H110">
        <v>0</v>
      </c>
      <c r="K110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10" s="1">
        <v>0</v>
      </c>
      <c r="M110" s="1"/>
      <c r="N110" s="1"/>
      <c r="O110" s="1"/>
      <c r="P110" s="1"/>
      <c r="Q110" s="44"/>
      <c r="R110" s="44"/>
      <c r="S110" s="1"/>
      <c r="T110" s="1">
        <f ca="1">IF(Watchlist[[#This Row],[Note]]="",Watchlist[[#This Row],[Note History]],CONCATENATE(TEXT(TODAY(),"yyyy-mm-dd"),": ",Watchlist[[#This Row],[Note]],". ",,Watchlist[[#This Row],[Note History]]))</f>
        <v>0</v>
      </c>
      <c r="U110">
        <v>0</v>
      </c>
      <c r="V110" t="str">
        <f>IF(Watchlist[[#This Row],[Ticker ]]="","",IF(Watchlist[[#This Row],[Action]]="Delete","N","Y"))</f>
        <v/>
      </c>
    </row>
    <row r="111" spans="4:22" x14ac:dyDescent="0.5">
      <c r="D111">
        <f ca="1">IF(Watchlist[[#This Row],[Grade]]="",Watchlist[[#This Row],[Grade history]],CONCATENATE(TEXT(TODAY(),"yyyy-mm-dd"),": ",Watchlist[[#This Row],[Grade]],". ",,Watchlist[[#This Row],[Grade history]]))</f>
        <v>0</v>
      </c>
      <c r="E111">
        <v>0</v>
      </c>
      <c r="G111">
        <f ca="1">IF(Watchlist[[#This Row],[Price]]="",Watchlist[[#This Row],[Price history]],CONCATENATE(TEXT(TODAY(),"yyyy-mm-dd"),": ",Watchlist[[#This Row],[Price]],". ",,Watchlist[[#This Row],[Price history]]))</f>
        <v>0</v>
      </c>
      <c r="H111">
        <v>0</v>
      </c>
      <c r="K111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11" s="1">
        <v>0</v>
      </c>
      <c r="M111" s="1"/>
      <c r="N111" s="1"/>
      <c r="O111" s="1"/>
      <c r="P111" s="1"/>
      <c r="Q111" s="44"/>
      <c r="R111" s="44"/>
      <c r="S111" s="1"/>
      <c r="T111" s="1">
        <f ca="1">IF(Watchlist[[#This Row],[Note]]="",Watchlist[[#This Row],[Note History]],CONCATENATE(TEXT(TODAY(),"yyyy-mm-dd"),": ",Watchlist[[#This Row],[Note]],". ",,Watchlist[[#This Row],[Note History]]))</f>
        <v>0</v>
      </c>
      <c r="U111">
        <v>0</v>
      </c>
      <c r="V111" t="str">
        <f>IF(Watchlist[[#This Row],[Ticker ]]="","",IF(Watchlist[[#This Row],[Action]]="Delete","N","Y"))</f>
        <v/>
      </c>
    </row>
    <row r="112" spans="4:22" x14ac:dyDescent="0.5">
      <c r="D112">
        <f ca="1">IF(Watchlist[[#This Row],[Grade]]="",Watchlist[[#This Row],[Grade history]],CONCATENATE(TEXT(TODAY(),"yyyy-mm-dd"),": ",Watchlist[[#This Row],[Grade]],". ",,Watchlist[[#This Row],[Grade history]]))</f>
        <v>0</v>
      </c>
      <c r="E112">
        <v>0</v>
      </c>
      <c r="G112">
        <f ca="1">IF(Watchlist[[#This Row],[Price]]="",Watchlist[[#This Row],[Price history]],CONCATENATE(TEXT(TODAY(),"yyyy-mm-dd"),": ",Watchlist[[#This Row],[Price]],". ",,Watchlist[[#This Row],[Price history]]))</f>
        <v>0</v>
      </c>
      <c r="H112">
        <v>0</v>
      </c>
      <c r="K112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12" s="1">
        <v>0</v>
      </c>
      <c r="M112" s="1"/>
      <c r="N112" s="1"/>
      <c r="O112" s="1"/>
      <c r="P112" s="1"/>
      <c r="Q112" s="44"/>
      <c r="R112" s="44"/>
      <c r="S112" s="1"/>
      <c r="T112" s="1">
        <f ca="1">IF(Watchlist[[#This Row],[Note]]="",Watchlist[[#This Row],[Note History]],CONCATENATE(TEXT(TODAY(),"yyyy-mm-dd"),": ",Watchlist[[#This Row],[Note]],". ",,Watchlist[[#This Row],[Note History]]))</f>
        <v>0</v>
      </c>
      <c r="U112">
        <v>0</v>
      </c>
      <c r="V112" t="str">
        <f>IF(Watchlist[[#This Row],[Ticker ]]="","",IF(Watchlist[[#This Row],[Action]]="Delete","N","Y"))</f>
        <v/>
      </c>
    </row>
    <row r="113" spans="4:22" x14ac:dyDescent="0.5">
      <c r="D113">
        <f ca="1">IF(Watchlist[[#This Row],[Grade]]="",Watchlist[[#This Row],[Grade history]],CONCATENATE(TEXT(TODAY(),"yyyy-mm-dd"),": ",Watchlist[[#This Row],[Grade]],". ",,Watchlist[[#This Row],[Grade history]]))</f>
        <v>0</v>
      </c>
      <c r="E113">
        <v>0</v>
      </c>
      <c r="G113">
        <f ca="1">IF(Watchlist[[#This Row],[Price]]="",Watchlist[[#This Row],[Price history]],CONCATENATE(TEXT(TODAY(),"yyyy-mm-dd"),": ",Watchlist[[#This Row],[Price]],". ",,Watchlist[[#This Row],[Price history]]))</f>
        <v>0</v>
      </c>
      <c r="H113">
        <v>0</v>
      </c>
      <c r="K113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13" s="1">
        <v>0</v>
      </c>
      <c r="M113" s="1"/>
      <c r="N113" s="1"/>
      <c r="O113" s="1"/>
      <c r="P113" s="1"/>
      <c r="Q113" s="44"/>
      <c r="R113" s="44"/>
      <c r="S113" s="1"/>
      <c r="T113" s="1">
        <f ca="1">IF(Watchlist[[#This Row],[Note]]="",Watchlist[[#This Row],[Note History]],CONCATENATE(TEXT(TODAY(),"yyyy-mm-dd"),": ",Watchlist[[#This Row],[Note]],". ",,Watchlist[[#This Row],[Note History]]))</f>
        <v>0</v>
      </c>
      <c r="U113">
        <v>0</v>
      </c>
      <c r="V113" t="str">
        <f>IF(Watchlist[[#This Row],[Ticker ]]="","",IF(Watchlist[[#This Row],[Action]]="Delete","N","Y"))</f>
        <v/>
      </c>
    </row>
    <row r="114" spans="4:22" x14ac:dyDescent="0.5">
      <c r="D114">
        <f ca="1">IF(Watchlist[[#This Row],[Grade]]="",Watchlist[[#This Row],[Grade history]],CONCATENATE(TEXT(TODAY(),"yyyy-mm-dd"),": ",Watchlist[[#This Row],[Grade]],". ",,Watchlist[[#This Row],[Grade history]]))</f>
        <v>0</v>
      </c>
      <c r="E114">
        <v>0</v>
      </c>
      <c r="G114">
        <f ca="1">IF(Watchlist[[#This Row],[Price]]="",Watchlist[[#This Row],[Price history]],CONCATENATE(TEXT(TODAY(),"yyyy-mm-dd"),": ",Watchlist[[#This Row],[Price]],". ",,Watchlist[[#This Row],[Price history]]))</f>
        <v>0</v>
      </c>
      <c r="H114">
        <v>0</v>
      </c>
      <c r="K114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14" s="1">
        <v>0</v>
      </c>
      <c r="M114" s="1"/>
      <c r="N114" s="1"/>
      <c r="O114" s="1"/>
      <c r="P114" s="1"/>
      <c r="Q114" s="44"/>
      <c r="R114" s="44"/>
      <c r="S114" s="1"/>
      <c r="T114" s="1">
        <f ca="1">IF(Watchlist[[#This Row],[Note]]="",Watchlist[[#This Row],[Note History]],CONCATENATE(TEXT(TODAY(),"yyyy-mm-dd"),": ",Watchlist[[#This Row],[Note]],". ",,Watchlist[[#This Row],[Note History]]))</f>
        <v>0</v>
      </c>
      <c r="U114">
        <v>0</v>
      </c>
      <c r="V114" t="str">
        <f>IF(Watchlist[[#This Row],[Ticker ]]="","",IF(Watchlist[[#This Row],[Action]]="Delete","N","Y"))</f>
        <v/>
      </c>
    </row>
    <row r="115" spans="4:22" x14ac:dyDescent="0.5">
      <c r="D115">
        <f ca="1">IF(Watchlist[[#This Row],[Grade]]="",Watchlist[[#This Row],[Grade history]],CONCATENATE(TEXT(TODAY(),"yyyy-mm-dd"),": ",Watchlist[[#This Row],[Grade]],". ",,Watchlist[[#This Row],[Grade history]]))</f>
        <v>0</v>
      </c>
      <c r="E115">
        <v>0</v>
      </c>
      <c r="G115">
        <f ca="1">IF(Watchlist[[#This Row],[Price]]="",Watchlist[[#This Row],[Price history]],CONCATENATE(TEXT(TODAY(),"yyyy-mm-dd"),": ",Watchlist[[#This Row],[Price]],". ",,Watchlist[[#This Row],[Price history]]))</f>
        <v>0</v>
      </c>
      <c r="H115">
        <v>0</v>
      </c>
      <c r="K115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15" s="1">
        <v>0</v>
      </c>
      <c r="M115" s="1"/>
      <c r="N115" s="1"/>
      <c r="O115" s="1"/>
      <c r="P115" s="1"/>
      <c r="Q115" s="44"/>
      <c r="R115" s="44"/>
      <c r="S115" s="1"/>
      <c r="T115" s="1">
        <f ca="1">IF(Watchlist[[#This Row],[Note]]="",Watchlist[[#This Row],[Note History]],CONCATENATE(TEXT(TODAY(),"yyyy-mm-dd"),": ",Watchlist[[#This Row],[Note]],". ",,Watchlist[[#This Row],[Note History]]))</f>
        <v>0</v>
      </c>
      <c r="U115">
        <v>0</v>
      </c>
      <c r="V115" t="str">
        <f>IF(Watchlist[[#This Row],[Ticker ]]="","",IF(Watchlist[[#This Row],[Action]]="Delete","N","Y"))</f>
        <v/>
      </c>
    </row>
    <row r="116" spans="4:22" x14ac:dyDescent="0.5">
      <c r="D116">
        <f ca="1">IF(Watchlist[[#This Row],[Grade]]="",Watchlist[[#This Row],[Grade history]],CONCATENATE(TEXT(TODAY(),"yyyy-mm-dd"),": ",Watchlist[[#This Row],[Grade]],". ",,Watchlist[[#This Row],[Grade history]]))</f>
        <v>0</v>
      </c>
      <c r="E116">
        <v>0</v>
      </c>
      <c r="G116">
        <f ca="1">IF(Watchlist[[#This Row],[Price]]="",Watchlist[[#This Row],[Price history]],CONCATENATE(TEXT(TODAY(),"yyyy-mm-dd"),": ",Watchlist[[#This Row],[Price]],". ",,Watchlist[[#This Row],[Price history]]))</f>
        <v>0</v>
      </c>
      <c r="H116">
        <v>0</v>
      </c>
      <c r="K116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16" s="1">
        <v>0</v>
      </c>
      <c r="M116" s="1"/>
      <c r="N116" s="1"/>
      <c r="O116" s="1"/>
      <c r="P116" s="1"/>
      <c r="Q116" s="44"/>
      <c r="R116" s="44"/>
      <c r="S116" s="1"/>
      <c r="T116" s="1">
        <f ca="1">IF(Watchlist[[#This Row],[Note]]="",Watchlist[[#This Row],[Note History]],CONCATENATE(TEXT(TODAY(),"yyyy-mm-dd"),": ",Watchlist[[#This Row],[Note]],". ",,Watchlist[[#This Row],[Note History]]))</f>
        <v>0</v>
      </c>
      <c r="U116">
        <v>0</v>
      </c>
      <c r="V116" t="str">
        <f>IF(Watchlist[[#This Row],[Ticker ]]="","",IF(Watchlist[[#This Row],[Action]]="Delete","N","Y"))</f>
        <v/>
      </c>
    </row>
    <row r="117" spans="4:22" x14ac:dyDescent="0.5">
      <c r="D117">
        <f ca="1">IF(Watchlist[[#This Row],[Grade]]="",Watchlist[[#This Row],[Grade history]],CONCATENATE(TEXT(TODAY(),"yyyy-mm-dd"),": ",Watchlist[[#This Row],[Grade]],". ",,Watchlist[[#This Row],[Grade history]]))</f>
        <v>0</v>
      </c>
      <c r="E117">
        <v>0</v>
      </c>
      <c r="G117">
        <f ca="1">IF(Watchlist[[#This Row],[Price]]="",Watchlist[[#This Row],[Price history]],CONCATENATE(TEXT(TODAY(),"yyyy-mm-dd"),": ",Watchlist[[#This Row],[Price]],". ",,Watchlist[[#This Row],[Price history]]))</f>
        <v>0</v>
      </c>
      <c r="H117">
        <v>0</v>
      </c>
      <c r="K117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17" s="1">
        <v>0</v>
      </c>
      <c r="M117" s="1"/>
      <c r="N117" s="1"/>
      <c r="O117" s="1"/>
      <c r="P117" s="1"/>
      <c r="Q117" s="44"/>
      <c r="R117" s="44"/>
      <c r="S117" s="1"/>
      <c r="T117" s="1">
        <f ca="1">IF(Watchlist[[#This Row],[Note]]="",Watchlist[[#This Row],[Note History]],CONCATENATE(TEXT(TODAY(),"yyyy-mm-dd"),": ",Watchlist[[#This Row],[Note]],". ",,Watchlist[[#This Row],[Note History]]))</f>
        <v>0</v>
      </c>
      <c r="U117">
        <v>0</v>
      </c>
      <c r="V117" t="str">
        <f>IF(Watchlist[[#This Row],[Ticker ]]="","",IF(Watchlist[[#This Row],[Action]]="Delete","N","Y"))</f>
        <v/>
      </c>
    </row>
    <row r="118" spans="4:22" x14ac:dyDescent="0.5">
      <c r="D118">
        <f ca="1">IF(Watchlist[[#This Row],[Grade]]="",Watchlist[[#This Row],[Grade history]],CONCATENATE(TEXT(TODAY(),"yyyy-mm-dd"),": ",Watchlist[[#This Row],[Grade]],". ",,Watchlist[[#This Row],[Grade history]]))</f>
        <v>0</v>
      </c>
      <c r="E118">
        <v>0</v>
      </c>
      <c r="G118">
        <f ca="1">IF(Watchlist[[#This Row],[Price]]="",Watchlist[[#This Row],[Price history]],CONCATENATE(TEXT(TODAY(),"yyyy-mm-dd"),": ",Watchlist[[#This Row],[Price]],". ",,Watchlist[[#This Row],[Price history]]))</f>
        <v>0</v>
      </c>
      <c r="H118">
        <v>0</v>
      </c>
      <c r="K118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18" s="1">
        <v>0</v>
      </c>
      <c r="M118" s="1"/>
      <c r="N118" s="1"/>
      <c r="O118" s="1"/>
      <c r="P118" s="1"/>
      <c r="Q118" s="44"/>
      <c r="R118" s="44"/>
      <c r="S118" s="1"/>
      <c r="T118" s="1">
        <f ca="1">IF(Watchlist[[#This Row],[Note]]="",Watchlist[[#This Row],[Note History]],CONCATENATE(TEXT(TODAY(),"yyyy-mm-dd"),": ",Watchlist[[#This Row],[Note]],". ",,Watchlist[[#This Row],[Note History]]))</f>
        <v>0</v>
      </c>
      <c r="U118">
        <v>0</v>
      </c>
      <c r="V118" t="str">
        <f>IF(Watchlist[[#This Row],[Ticker ]]="","",IF(Watchlist[[#This Row],[Action]]="Delete","N","Y"))</f>
        <v/>
      </c>
    </row>
    <row r="119" spans="4:22" x14ac:dyDescent="0.5">
      <c r="D119">
        <f ca="1">IF(Watchlist[[#This Row],[Grade]]="",Watchlist[[#This Row],[Grade history]],CONCATENATE(TEXT(TODAY(),"yyyy-mm-dd"),": ",Watchlist[[#This Row],[Grade]],". ",,Watchlist[[#This Row],[Grade history]]))</f>
        <v>0</v>
      </c>
      <c r="E119">
        <v>0</v>
      </c>
      <c r="G119">
        <f ca="1">IF(Watchlist[[#This Row],[Price]]="",Watchlist[[#This Row],[Price history]],CONCATENATE(TEXT(TODAY(),"yyyy-mm-dd"),": ",Watchlist[[#This Row],[Price]],". ",,Watchlist[[#This Row],[Price history]]))</f>
        <v>0</v>
      </c>
      <c r="H119">
        <v>0</v>
      </c>
      <c r="K119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19" s="1">
        <v>0</v>
      </c>
      <c r="M119" s="1"/>
      <c r="N119" s="1"/>
      <c r="O119" s="1"/>
      <c r="P119" s="1"/>
      <c r="Q119" s="44"/>
      <c r="R119" s="44"/>
      <c r="S119" s="1"/>
      <c r="T119" s="1">
        <f ca="1">IF(Watchlist[[#This Row],[Note]]="",Watchlist[[#This Row],[Note History]],CONCATENATE(TEXT(TODAY(),"yyyy-mm-dd"),": ",Watchlist[[#This Row],[Note]],". ",,Watchlist[[#This Row],[Note History]]))</f>
        <v>0</v>
      </c>
      <c r="U119">
        <v>0</v>
      </c>
      <c r="V119" t="str">
        <f>IF(Watchlist[[#This Row],[Ticker ]]="","",IF(Watchlist[[#This Row],[Action]]="Delete","N","Y"))</f>
        <v/>
      </c>
    </row>
    <row r="120" spans="4:22" x14ac:dyDescent="0.5">
      <c r="D120">
        <f ca="1">IF(Watchlist[[#This Row],[Grade]]="",Watchlist[[#This Row],[Grade history]],CONCATENATE(TEXT(TODAY(),"yyyy-mm-dd"),": ",Watchlist[[#This Row],[Grade]],". ",,Watchlist[[#This Row],[Grade history]]))</f>
        <v>0</v>
      </c>
      <c r="E120">
        <v>0</v>
      </c>
      <c r="G120">
        <f ca="1">IF(Watchlist[[#This Row],[Price]]="",Watchlist[[#This Row],[Price history]],CONCATENATE(TEXT(TODAY(),"yyyy-mm-dd"),": ",Watchlist[[#This Row],[Price]],". ",,Watchlist[[#This Row],[Price history]]))</f>
        <v>0</v>
      </c>
      <c r="H120">
        <v>0</v>
      </c>
      <c r="K120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20" s="1">
        <v>0</v>
      </c>
      <c r="M120" s="1"/>
      <c r="N120" s="1"/>
      <c r="O120" s="1"/>
      <c r="P120" s="1"/>
      <c r="Q120" s="44"/>
      <c r="R120" s="44"/>
      <c r="S120" s="1"/>
      <c r="T120" s="1">
        <f ca="1">IF(Watchlist[[#This Row],[Note]]="",Watchlist[[#This Row],[Note History]],CONCATENATE(TEXT(TODAY(),"yyyy-mm-dd"),": ",Watchlist[[#This Row],[Note]],". ",,Watchlist[[#This Row],[Note History]]))</f>
        <v>0</v>
      </c>
      <c r="U120">
        <v>0</v>
      </c>
      <c r="V120" t="str">
        <f>IF(Watchlist[[#This Row],[Ticker ]]="","",IF(Watchlist[[#This Row],[Action]]="Delete","N","Y"))</f>
        <v/>
      </c>
    </row>
    <row r="121" spans="4:22" x14ac:dyDescent="0.5">
      <c r="D121">
        <f ca="1">IF(Watchlist[[#This Row],[Grade]]="",Watchlist[[#This Row],[Grade history]],CONCATENATE(TEXT(TODAY(),"yyyy-mm-dd"),": ",Watchlist[[#This Row],[Grade]],". ",,Watchlist[[#This Row],[Grade history]]))</f>
        <v>0</v>
      </c>
      <c r="E121">
        <v>0</v>
      </c>
      <c r="G121">
        <f ca="1">IF(Watchlist[[#This Row],[Price]]="",Watchlist[[#This Row],[Price history]],CONCATENATE(TEXT(TODAY(),"yyyy-mm-dd"),": ",Watchlist[[#This Row],[Price]],". ",,Watchlist[[#This Row],[Price history]]))</f>
        <v>0</v>
      </c>
      <c r="H121">
        <v>0</v>
      </c>
      <c r="K121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21" s="1">
        <v>0</v>
      </c>
      <c r="M121" s="1"/>
      <c r="N121" s="1"/>
      <c r="O121" s="1"/>
      <c r="P121" s="1"/>
      <c r="Q121" s="44"/>
      <c r="R121" s="44"/>
      <c r="S121" s="1"/>
      <c r="T121" s="1">
        <f ca="1">IF(Watchlist[[#This Row],[Note]]="",Watchlist[[#This Row],[Note History]],CONCATENATE(TEXT(TODAY(),"yyyy-mm-dd"),": ",Watchlist[[#This Row],[Note]],". ",,Watchlist[[#This Row],[Note History]]))</f>
        <v>0</v>
      </c>
      <c r="U121">
        <v>0</v>
      </c>
      <c r="V121" t="str">
        <f>IF(Watchlist[[#This Row],[Ticker ]]="","",IF(Watchlist[[#This Row],[Action]]="Delete","N","Y"))</f>
        <v/>
      </c>
    </row>
    <row r="122" spans="4:22" x14ac:dyDescent="0.5">
      <c r="D122">
        <f ca="1">IF(Watchlist[[#This Row],[Grade]]="",Watchlist[[#This Row],[Grade history]],CONCATENATE(TEXT(TODAY(),"yyyy-mm-dd"),": ",Watchlist[[#This Row],[Grade]],". ",,Watchlist[[#This Row],[Grade history]]))</f>
        <v>0</v>
      </c>
      <c r="E122">
        <v>0</v>
      </c>
      <c r="G122">
        <f ca="1">IF(Watchlist[[#This Row],[Price]]="",Watchlist[[#This Row],[Price history]],CONCATENATE(TEXT(TODAY(),"yyyy-mm-dd"),": ",Watchlist[[#This Row],[Price]],". ",,Watchlist[[#This Row],[Price history]]))</f>
        <v>0</v>
      </c>
      <c r="H122">
        <v>0</v>
      </c>
      <c r="K122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22" s="1">
        <v>0</v>
      </c>
      <c r="M122" s="1"/>
      <c r="N122" s="1"/>
      <c r="O122" s="1"/>
      <c r="P122" s="1"/>
      <c r="Q122" s="44"/>
      <c r="R122" s="44"/>
      <c r="S122" s="1"/>
      <c r="T122" s="1">
        <f ca="1">IF(Watchlist[[#This Row],[Note]]="",Watchlist[[#This Row],[Note History]],CONCATENATE(TEXT(TODAY(),"yyyy-mm-dd"),": ",Watchlist[[#This Row],[Note]],". ",,Watchlist[[#This Row],[Note History]]))</f>
        <v>0</v>
      </c>
      <c r="U122">
        <v>0</v>
      </c>
      <c r="V122" t="str">
        <f>IF(Watchlist[[#This Row],[Ticker ]]="","",IF(Watchlist[[#This Row],[Action]]="Delete","N","Y"))</f>
        <v/>
      </c>
    </row>
    <row r="123" spans="4:22" x14ac:dyDescent="0.5">
      <c r="D123">
        <f ca="1">IF(Watchlist[[#This Row],[Grade]]="",Watchlist[[#This Row],[Grade history]],CONCATENATE(TEXT(TODAY(),"yyyy-mm-dd"),": ",Watchlist[[#This Row],[Grade]],". ",,Watchlist[[#This Row],[Grade history]]))</f>
        <v>0</v>
      </c>
      <c r="E123">
        <v>0</v>
      </c>
      <c r="G123">
        <f ca="1">IF(Watchlist[[#This Row],[Price]]="",Watchlist[[#This Row],[Price history]],CONCATENATE(TEXT(TODAY(),"yyyy-mm-dd"),": ",Watchlist[[#This Row],[Price]],". ",,Watchlist[[#This Row],[Price history]]))</f>
        <v>0</v>
      </c>
      <c r="H123">
        <v>0</v>
      </c>
      <c r="K123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23" s="1">
        <v>0</v>
      </c>
      <c r="M123" s="1"/>
      <c r="N123" s="1"/>
      <c r="O123" s="1"/>
      <c r="P123" s="1"/>
      <c r="Q123" s="44"/>
      <c r="R123" s="44"/>
      <c r="S123" s="1"/>
      <c r="T123" s="1">
        <f ca="1">IF(Watchlist[[#This Row],[Note]]="",Watchlist[[#This Row],[Note History]],CONCATENATE(TEXT(TODAY(),"yyyy-mm-dd"),": ",Watchlist[[#This Row],[Note]],". ",,Watchlist[[#This Row],[Note History]]))</f>
        <v>0</v>
      </c>
      <c r="U123">
        <v>0</v>
      </c>
      <c r="V123" t="str">
        <f>IF(Watchlist[[#This Row],[Ticker ]]="","",IF(Watchlist[[#This Row],[Action]]="Delete","N","Y"))</f>
        <v/>
      </c>
    </row>
    <row r="124" spans="4:22" x14ac:dyDescent="0.5">
      <c r="D124">
        <f ca="1">IF(Watchlist[[#This Row],[Grade]]="",Watchlist[[#This Row],[Grade history]],CONCATENATE(TEXT(TODAY(),"yyyy-mm-dd"),": ",Watchlist[[#This Row],[Grade]],". ",,Watchlist[[#This Row],[Grade history]]))</f>
        <v>0</v>
      </c>
      <c r="E124">
        <v>0</v>
      </c>
      <c r="G124">
        <f ca="1">IF(Watchlist[[#This Row],[Price]]="",Watchlist[[#This Row],[Price history]],CONCATENATE(TEXT(TODAY(),"yyyy-mm-dd"),": ",Watchlist[[#This Row],[Price]],". ",,Watchlist[[#This Row],[Price history]]))</f>
        <v>0</v>
      </c>
      <c r="H124">
        <v>0</v>
      </c>
      <c r="K124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24" s="1">
        <v>0</v>
      </c>
      <c r="M124" s="1"/>
      <c r="N124" s="1"/>
      <c r="O124" s="1"/>
      <c r="P124" s="1"/>
      <c r="Q124" s="44"/>
      <c r="R124" s="44"/>
      <c r="S124" s="1"/>
      <c r="T124" s="1">
        <f ca="1">IF(Watchlist[[#This Row],[Note]]="",Watchlist[[#This Row],[Note History]],CONCATENATE(TEXT(TODAY(),"yyyy-mm-dd"),": ",Watchlist[[#This Row],[Note]],". ",,Watchlist[[#This Row],[Note History]]))</f>
        <v>0</v>
      </c>
      <c r="U124">
        <v>0</v>
      </c>
      <c r="V124" t="str">
        <f>IF(Watchlist[[#This Row],[Ticker ]]="","",IF(Watchlist[[#This Row],[Action]]="Delete","N","Y"))</f>
        <v/>
      </c>
    </row>
    <row r="125" spans="4:22" x14ac:dyDescent="0.5">
      <c r="D125">
        <f ca="1">IF(Watchlist[[#This Row],[Grade]]="",Watchlist[[#This Row],[Grade history]],CONCATENATE(TEXT(TODAY(),"yyyy-mm-dd"),": ",Watchlist[[#This Row],[Grade]],". ",,Watchlist[[#This Row],[Grade history]]))</f>
        <v>0</v>
      </c>
      <c r="E125">
        <v>0</v>
      </c>
      <c r="G125">
        <f ca="1">IF(Watchlist[[#This Row],[Price]]="",Watchlist[[#This Row],[Price history]],CONCATENATE(TEXT(TODAY(),"yyyy-mm-dd"),": ",Watchlist[[#This Row],[Price]],". ",,Watchlist[[#This Row],[Price history]]))</f>
        <v>0</v>
      </c>
      <c r="H125">
        <v>0</v>
      </c>
      <c r="K125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25" s="1">
        <v>0</v>
      </c>
      <c r="M125" s="1"/>
      <c r="N125" s="1"/>
      <c r="O125" s="1"/>
      <c r="P125" s="1"/>
      <c r="Q125" s="44"/>
      <c r="R125" s="44"/>
      <c r="S125" s="1"/>
      <c r="T125" s="1">
        <f ca="1">IF(Watchlist[[#This Row],[Note]]="",Watchlist[[#This Row],[Note History]],CONCATENATE(TEXT(TODAY(),"yyyy-mm-dd"),": ",Watchlist[[#This Row],[Note]],". ",,Watchlist[[#This Row],[Note History]]))</f>
        <v>0</v>
      </c>
      <c r="U125">
        <v>0</v>
      </c>
      <c r="V125" t="str">
        <f>IF(Watchlist[[#This Row],[Ticker ]]="","",IF(Watchlist[[#This Row],[Action]]="Delete","N","Y"))</f>
        <v/>
      </c>
    </row>
    <row r="126" spans="4:22" x14ac:dyDescent="0.5">
      <c r="D126">
        <f ca="1">IF(Watchlist[[#This Row],[Grade]]="",Watchlist[[#This Row],[Grade history]],CONCATENATE(TEXT(TODAY(),"yyyy-mm-dd"),": ",Watchlist[[#This Row],[Grade]],". ",,Watchlist[[#This Row],[Grade history]]))</f>
        <v>0</v>
      </c>
      <c r="E126">
        <v>0</v>
      </c>
      <c r="G126">
        <f ca="1">IF(Watchlist[[#This Row],[Price]]="",Watchlist[[#This Row],[Price history]],CONCATENATE(TEXT(TODAY(),"yyyy-mm-dd"),": ",Watchlist[[#This Row],[Price]],". ",,Watchlist[[#This Row],[Price history]]))</f>
        <v>0</v>
      </c>
      <c r="H126">
        <v>0</v>
      </c>
      <c r="K126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26" s="1">
        <v>0</v>
      </c>
      <c r="M126" s="1"/>
      <c r="N126" s="1"/>
      <c r="O126" s="1"/>
      <c r="P126" s="1"/>
      <c r="Q126" s="44"/>
      <c r="R126" s="44"/>
      <c r="S126" s="1"/>
      <c r="T126" s="1">
        <f ca="1">IF(Watchlist[[#This Row],[Note]]="",Watchlist[[#This Row],[Note History]],CONCATENATE(TEXT(TODAY(),"yyyy-mm-dd"),": ",Watchlist[[#This Row],[Note]],". ",,Watchlist[[#This Row],[Note History]]))</f>
        <v>0</v>
      </c>
      <c r="U126">
        <v>0</v>
      </c>
      <c r="V126" t="str">
        <f>IF(Watchlist[[#This Row],[Ticker ]]="","",IF(Watchlist[[#This Row],[Action]]="Delete","N","Y"))</f>
        <v/>
      </c>
    </row>
    <row r="127" spans="4:22" x14ac:dyDescent="0.5">
      <c r="D127">
        <f ca="1">IF(Watchlist[[#This Row],[Grade]]="",Watchlist[[#This Row],[Grade history]],CONCATENATE(TEXT(TODAY(),"yyyy-mm-dd"),": ",Watchlist[[#This Row],[Grade]],". ",,Watchlist[[#This Row],[Grade history]]))</f>
        <v>0</v>
      </c>
      <c r="E127">
        <v>0</v>
      </c>
      <c r="G127">
        <f ca="1">IF(Watchlist[[#This Row],[Price]]="",Watchlist[[#This Row],[Price history]],CONCATENATE(TEXT(TODAY(),"yyyy-mm-dd"),": ",Watchlist[[#This Row],[Price]],". ",,Watchlist[[#This Row],[Price history]]))</f>
        <v>0</v>
      </c>
      <c r="H127">
        <v>0</v>
      </c>
      <c r="K127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27" s="1">
        <v>0</v>
      </c>
      <c r="M127" s="1"/>
      <c r="N127" s="1"/>
      <c r="O127" s="1"/>
      <c r="P127" s="1"/>
      <c r="Q127" s="44"/>
      <c r="R127" s="44"/>
      <c r="S127" s="1"/>
      <c r="T127" s="1">
        <f ca="1">IF(Watchlist[[#This Row],[Note]]="",Watchlist[[#This Row],[Note History]],CONCATENATE(TEXT(TODAY(),"yyyy-mm-dd"),": ",Watchlist[[#This Row],[Note]],". ",,Watchlist[[#This Row],[Note History]]))</f>
        <v>0</v>
      </c>
      <c r="U127">
        <v>0</v>
      </c>
      <c r="V127" t="str">
        <f>IF(Watchlist[[#This Row],[Ticker ]]="","",IF(Watchlist[[#This Row],[Action]]="Delete","N","Y"))</f>
        <v/>
      </c>
    </row>
    <row r="128" spans="4:22" x14ac:dyDescent="0.5">
      <c r="D128">
        <f ca="1">IF(Watchlist[[#This Row],[Grade]]="",Watchlist[[#This Row],[Grade history]],CONCATENATE(TEXT(TODAY(),"yyyy-mm-dd"),": ",Watchlist[[#This Row],[Grade]],". ",,Watchlist[[#This Row],[Grade history]]))</f>
        <v>0</v>
      </c>
      <c r="E128">
        <v>0</v>
      </c>
      <c r="G128">
        <f ca="1">IF(Watchlist[[#This Row],[Price]]="",Watchlist[[#This Row],[Price history]],CONCATENATE(TEXT(TODAY(),"yyyy-mm-dd"),": ",Watchlist[[#This Row],[Price]],". ",,Watchlist[[#This Row],[Price history]]))</f>
        <v>0</v>
      </c>
      <c r="H128">
        <v>0</v>
      </c>
      <c r="K128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28" s="1">
        <v>0</v>
      </c>
      <c r="M128" s="1"/>
      <c r="N128" s="1"/>
      <c r="O128" s="1"/>
      <c r="P128" s="1"/>
      <c r="Q128" s="44"/>
      <c r="R128" s="44"/>
      <c r="S128" s="1"/>
      <c r="T128" s="1">
        <f ca="1">IF(Watchlist[[#This Row],[Note]]="",Watchlist[[#This Row],[Note History]],CONCATENATE(TEXT(TODAY(),"yyyy-mm-dd"),": ",Watchlist[[#This Row],[Note]],". ",,Watchlist[[#This Row],[Note History]]))</f>
        <v>0</v>
      </c>
      <c r="U128">
        <v>0</v>
      </c>
      <c r="V128" t="str">
        <f>IF(Watchlist[[#This Row],[Ticker ]]="","",IF(Watchlist[[#This Row],[Action]]="Delete","N","Y"))</f>
        <v/>
      </c>
    </row>
    <row r="129" spans="4:22" x14ac:dyDescent="0.5">
      <c r="D129">
        <f ca="1">IF(Watchlist[[#This Row],[Grade]]="",Watchlist[[#This Row],[Grade history]],CONCATENATE(TEXT(TODAY(),"yyyy-mm-dd"),": ",Watchlist[[#This Row],[Grade]],". ",,Watchlist[[#This Row],[Grade history]]))</f>
        <v>0</v>
      </c>
      <c r="E129">
        <v>0</v>
      </c>
      <c r="G129">
        <f ca="1">IF(Watchlist[[#This Row],[Price]]="",Watchlist[[#This Row],[Price history]],CONCATENATE(TEXT(TODAY(),"yyyy-mm-dd"),": ",Watchlist[[#This Row],[Price]],". ",,Watchlist[[#This Row],[Price history]]))</f>
        <v>0</v>
      </c>
      <c r="H129">
        <v>0</v>
      </c>
      <c r="K129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29" s="1">
        <v>0</v>
      </c>
      <c r="M129" s="1"/>
      <c r="N129" s="1"/>
      <c r="O129" s="1"/>
      <c r="P129" s="1"/>
      <c r="Q129" s="44"/>
      <c r="R129" s="44"/>
      <c r="S129" s="1"/>
      <c r="T129" s="1">
        <f ca="1">IF(Watchlist[[#This Row],[Note]]="",Watchlist[[#This Row],[Note History]],CONCATENATE(TEXT(TODAY(),"yyyy-mm-dd"),": ",Watchlist[[#This Row],[Note]],". ",,Watchlist[[#This Row],[Note History]]))</f>
        <v>0</v>
      </c>
      <c r="U129">
        <v>0</v>
      </c>
      <c r="V129" t="str">
        <f>IF(Watchlist[[#This Row],[Ticker ]]="","",IF(Watchlist[[#This Row],[Action]]="Delete","N","Y"))</f>
        <v/>
      </c>
    </row>
    <row r="130" spans="4:22" x14ac:dyDescent="0.5">
      <c r="D130">
        <f ca="1">IF(Watchlist[[#This Row],[Grade]]="",Watchlist[[#This Row],[Grade history]],CONCATENATE(TEXT(TODAY(),"yyyy-mm-dd"),": ",Watchlist[[#This Row],[Grade]],". ",,Watchlist[[#This Row],[Grade history]]))</f>
        <v>0</v>
      </c>
      <c r="E130">
        <v>0</v>
      </c>
      <c r="G130">
        <f ca="1">IF(Watchlist[[#This Row],[Price]]="",Watchlist[[#This Row],[Price history]],CONCATENATE(TEXT(TODAY(),"yyyy-mm-dd"),": ",Watchlist[[#This Row],[Price]],". ",,Watchlist[[#This Row],[Price history]]))</f>
        <v>0</v>
      </c>
      <c r="H130">
        <v>0</v>
      </c>
      <c r="K130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30" s="1">
        <v>0</v>
      </c>
      <c r="M130" s="1"/>
      <c r="N130" s="1"/>
      <c r="O130" s="1"/>
      <c r="P130" s="1"/>
      <c r="Q130" s="44"/>
      <c r="R130" s="44"/>
      <c r="S130" s="1"/>
      <c r="T130" s="1">
        <f ca="1">IF(Watchlist[[#This Row],[Note]]="",Watchlist[[#This Row],[Note History]],CONCATENATE(TEXT(TODAY(),"yyyy-mm-dd"),": ",Watchlist[[#This Row],[Note]],". ",,Watchlist[[#This Row],[Note History]]))</f>
        <v>0</v>
      </c>
      <c r="U130">
        <v>0</v>
      </c>
      <c r="V130" t="str">
        <f>IF(Watchlist[[#This Row],[Ticker ]]="","",IF(Watchlist[[#This Row],[Action]]="Delete","N","Y"))</f>
        <v/>
      </c>
    </row>
    <row r="131" spans="4:22" x14ac:dyDescent="0.5">
      <c r="D131">
        <f ca="1">IF(Watchlist[[#This Row],[Grade]]="",Watchlist[[#This Row],[Grade history]],CONCATENATE(TEXT(TODAY(),"yyyy-mm-dd"),": ",Watchlist[[#This Row],[Grade]],". ",,Watchlist[[#This Row],[Grade history]]))</f>
        <v>0</v>
      </c>
      <c r="E131">
        <v>0</v>
      </c>
      <c r="G131">
        <f ca="1">IF(Watchlist[[#This Row],[Price]]="",Watchlist[[#This Row],[Price history]],CONCATENATE(TEXT(TODAY(),"yyyy-mm-dd"),": ",Watchlist[[#This Row],[Price]],". ",,Watchlist[[#This Row],[Price history]]))</f>
        <v>0</v>
      </c>
      <c r="H131">
        <v>0</v>
      </c>
      <c r="K131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31" s="1">
        <v>0</v>
      </c>
      <c r="M131" s="1"/>
      <c r="N131" s="1"/>
      <c r="O131" s="1"/>
      <c r="P131" s="1"/>
      <c r="Q131" s="44"/>
      <c r="R131" s="44"/>
      <c r="S131" s="1"/>
      <c r="T131" s="1">
        <f ca="1">IF(Watchlist[[#This Row],[Note]]="",Watchlist[[#This Row],[Note History]],CONCATENATE(TEXT(TODAY(),"yyyy-mm-dd"),": ",Watchlist[[#This Row],[Note]],". ",,Watchlist[[#This Row],[Note History]]))</f>
        <v>0</v>
      </c>
      <c r="U131">
        <v>0</v>
      </c>
      <c r="V131" t="str">
        <f>IF(Watchlist[[#This Row],[Ticker ]]="","",IF(Watchlist[[#This Row],[Action]]="Delete","N","Y"))</f>
        <v/>
      </c>
    </row>
    <row r="132" spans="4:22" x14ac:dyDescent="0.5">
      <c r="D132">
        <f ca="1">IF(Watchlist[[#This Row],[Grade]]="",Watchlist[[#This Row],[Grade history]],CONCATENATE(TEXT(TODAY(),"yyyy-mm-dd"),": ",Watchlist[[#This Row],[Grade]],". ",,Watchlist[[#This Row],[Grade history]]))</f>
        <v>0</v>
      </c>
      <c r="E132">
        <v>0</v>
      </c>
      <c r="G132">
        <f ca="1">IF(Watchlist[[#This Row],[Price]]="",Watchlist[[#This Row],[Price history]],CONCATENATE(TEXT(TODAY(),"yyyy-mm-dd"),": ",Watchlist[[#This Row],[Price]],". ",,Watchlist[[#This Row],[Price history]]))</f>
        <v>0</v>
      </c>
      <c r="H132">
        <v>0</v>
      </c>
      <c r="K132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32" s="1">
        <v>0</v>
      </c>
      <c r="M132" s="1"/>
      <c r="N132" s="1"/>
      <c r="O132" s="1"/>
      <c r="P132" s="1"/>
      <c r="Q132" s="44"/>
      <c r="R132" s="44"/>
      <c r="S132" s="1"/>
      <c r="T132" s="1">
        <f ca="1">IF(Watchlist[[#This Row],[Note]]="",Watchlist[[#This Row],[Note History]],CONCATENATE(TEXT(TODAY(),"yyyy-mm-dd"),": ",Watchlist[[#This Row],[Note]],". ",,Watchlist[[#This Row],[Note History]]))</f>
        <v>0</v>
      </c>
      <c r="U132">
        <v>0</v>
      </c>
      <c r="V132" t="str">
        <f>IF(Watchlist[[#This Row],[Ticker ]]="","",IF(Watchlist[[#This Row],[Action]]="Delete","N","Y"))</f>
        <v/>
      </c>
    </row>
    <row r="133" spans="4:22" x14ac:dyDescent="0.5">
      <c r="D133">
        <f ca="1">IF(Watchlist[[#This Row],[Grade]]="",Watchlist[[#This Row],[Grade history]],CONCATENATE(TEXT(TODAY(),"yyyy-mm-dd"),": ",Watchlist[[#This Row],[Grade]],". ",,Watchlist[[#This Row],[Grade history]]))</f>
        <v>0</v>
      </c>
      <c r="E133">
        <v>0</v>
      </c>
      <c r="G133">
        <f ca="1">IF(Watchlist[[#This Row],[Price]]="",Watchlist[[#This Row],[Price history]],CONCATENATE(TEXT(TODAY(),"yyyy-mm-dd"),": ",Watchlist[[#This Row],[Price]],". ",,Watchlist[[#This Row],[Price history]]))</f>
        <v>0</v>
      </c>
      <c r="H133">
        <v>0</v>
      </c>
      <c r="K133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33" s="1">
        <v>0</v>
      </c>
      <c r="M133" s="1"/>
      <c r="N133" s="1"/>
      <c r="O133" s="1"/>
      <c r="P133" s="1"/>
      <c r="Q133" s="44"/>
      <c r="R133" s="44"/>
      <c r="S133" s="1"/>
      <c r="T133" s="1">
        <f ca="1">IF(Watchlist[[#This Row],[Note]]="",Watchlist[[#This Row],[Note History]],CONCATENATE(TEXT(TODAY(),"yyyy-mm-dd"),": ",Watchlist[[#This Row],[Note]],". ",,Watchlist[[#This Row],[Note History]]))</f>
        <v>0</v>
      </c>
      <c r="U133">
        <v>0</v>
      </c>
      <c r="V133" t="str">
        <f>IF(Watchlist[[#This Row],[Ticker ]]="","",IF(Watchlist[[#This Row],[Action]]="Delete","N","Y"))</f>
        <v/>
      </c>
    </row>
    <row r="134" spans="4:22" x14ac:dyDescent="0.5">
      <c r="D134">
        <f ca="1">IF(Watchlist[[#This Row],[Grade]]="",Watchlist[[#This Row],[Grade history]],CONCATENATE(TEXT(TODAY(),"yyyy-mm-dd"),": ",Watchlist[[#This Row],[Grade]],". ",,Watchlist[[#This Row],[Grade history]]))</f>
        <v>0</v>
      </c>
      <c r="E134">
        <v>0</v>
      </c>
      <c r="G134">
        <f ca="1">IF(Watchlist[[#This Row],[Price]]="",Watchlist[[#This Row],[Price history]],CONCATENATE(TEXT(TODAY(),"yyyy-mm-dd"),": ",Watchlist[[#This Row],[Price]],". ",,Watchlist[[#This Row],[Price history]]))</f>
        <v>0</v>
      </c>
      <c r="H134">
        <v>0</v>
      </c>
      <c r="K134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34" s="1">
        <v>0</v>
      </c>
      <c r="M134" s="1"/>
      <c r="N134" s="1"/>
      <c r="O134" s="1"/>
      <c r="P134" s="1"/>
      <c r="Q134" s="44"/>
      <c r="R134" s="44"/>
      <c r="S134" s="1"/>
      <c r="T134" s="1">
        <f ca="1">IF(Watchlist[[#This Row],[Note]]="",Watchlist[[#This Row],[Note History]],CONCATENATE(TEXT(TODAY(),"yyyy-mm-dd"),": ",Watchlist[[#This Row],[Note]],". ",,Watchlist[[#This Row],[Note History]]))</f>
        <v>0</v>
      </c>
      <c r="U134">
        <v>0</v>
      </c>
      <c r="V134" t="str">
        <f>IF(Watchlist[[#This Row],[Ticker ]]="","",IF(Watchlist[[#This Row],[Action]]="Delete","N","Y"))</f>
        <v/>
      </c>
    </row>
    <row r="135" spans="4:22" x14ac:dyDescent="0.5">
      <c r="D135">
        <f ca="1">IF(Watchlist[[#This Row],[Grade]]="",Watchlist[[#This Row],[Grade history]],CONCATENATE(TEXT(TODAY(),"yyyy-mm-dd"),": ",Watchlist[[#This Row],[Grade]],". ",,Watchlist[[#This Row],[Grade history]]))</f>
        <v>0</v>
      </c>
      <c r="E135">
        <v>0</v>
      </c>
      <c r="G135">
        <f ca="1">IF(Watchlist[[#This Row],[Price]]="",Watchlist[[#This Row],[Price history]],CONCATENATE(TEXT(TODAY(),"yyyy-mm-dd"),": ",Watchlist[[#This Row],[Price]],". ",,Watchlist[[#This Row],[Price history]]))</f>
        <v>0</v>
      </c>
      <c r="H135">
        <v>0</v>
      </c>
      <c r="K135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35" s="1">
        <v>0</v>
      </c>
      <c r="M135" s="1"/>
      <c r="N135" s="1"/>
      <c r="O135" s="1"/>
      <c r="P135" s="1"/>
      <c r="Q135" s="44"/>
      <c r="R135" s="44"/>
      <c r="S135" s="1"/>
      <c r="T135" s="1">
        <f ca="1">IF(Watchlist[[#This Row],[Note]]="",Watchlist[[#This Row],[Note History]],CONCATENATE(TEXT(TODAY(),"yyyy-mm-dd"),": ",Watchlist[[#This Row],[Note]],". ",,Watchlist[[#This Row],[Note History]]))</f>
        <v>0</v>
      </c>
      <c r="U135">
        <v>0</v>
      </c>
      <c r="V135" t="str">
        <f>IF(Watchlist[[#This Row],[Ticker ]]="","",IF(Watchlist[[#This Row],[Action]]="Delete","N","Y"))</f>
        <v/>
      </c>
    </row>
    <row r="136" spans="4:22" x14ac:dyDescent="0.5">
      <c r="D136">
        <f ca="1">IF(Watchlist[[#This Row],[Grade]]="",Watchlist[[#This Row],[Grade history]],CONCATENATE(TEXT(TODAY(),"yyyy-mm-dd"),": ",Watchlist[[#This Row],[Grade]],". ",,Watchlist[[#This Row],[Grade history]]))</f>
        <v>0</v>
      </c>
      <c r="E136">
        <v>0</v>
      </c>
      <c r="G136">
        <f ca="1">IF(Watchlist[[#This Row],[Price]]="",Watchlist[[#This Row],[Price history]],CONCATENATE(TEXT(TODAY(),"yyyy-mm-dd"),": ",Watchlist[[#This Row],[Price]],". ",,Watchlist[[#This Row],[Price history]]))</f>
        <v>0</v>
      </c>
      <c r="H136">
        <v>0</v>
      </c>
      <c r="K136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36" s="1">
        <v>0</v>
      </c>
      <c r="M136" s="1"/>
      <c r="N136" s="1"/>
      <c r="O136" s="1"/>
      <c r="P136" s="1"/>
      <c r="Q136" s="44"/>
      <c r="R136" s="44"/>
      <c r="S136" s="1"/>
      <c r="T136" s="1">
        <f ca="1">IF(Watchlist[[#This Row],[Note]]="",Watchlist[[#This Row],[Note History]],CONCATENATE(TEXT(TODAY(),"yyyy-mm-dd"),": ",Watchlist[[#This Row],[Note]],". ",,Watchlist[[#This Row],[Note History]]))</f>
        <v>0</v>
      </c>
      <c r="U136">
        <v>0</v>
      </c>
      <c r="V136" t="str">
        <f>IF(Watchlist[[#This Row],[Ticker ]]="","",IF(Watchlist[[#This Row],[Action]]="Delete","N","Y"))</f>
        <v/>
      </c>
    </row>
    <row r="137" spans="4:22" x14ac:dyDescent="0.5">
      <c r="D137">
        <f ca="1">IF(Watchlist[[#This Row],[Grade]]="",Watchlist[[#This Row],[Grade history]],CONCATENATE(TEXT(TODAY(),"yyyy-mm-dd"),": ",Watchlist[[#This Row],[Grade]],". ",,Watchlist[[#This Row],[Grade history]]))</f>
        <v>0</v>
      </c>
      <c r="E137">
        <v>0</v>
      </c>
      <c r="G137">
        <f ca="1">IF(Watchlist[[#This Row],[Price]]="",Watchlist[[#This Row],[Price history]],CONCATENATE(TEXT(TODAY(),"yyyy-mm-dd"),": ",Watchlist[[#This Row],[Price]],". ",,Watchlist[[#This Row],[Price history]]))</f>
        <v>0</v>
      </c>
      <c r="H137">
        <v>0</v>
      </c>
      <c r="K137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37" s="1">
        <v>0</v>
      </c>
      <c r="M137" s="1"/>
      <c r="N137" s="1"/>
      <c r="O137" s="1"/>
      <c r="P137" s="1"/>
      <c r="Q137" s="44"/>
      <c r="R137" s="44"/>
      <c r="S137" s="1"/>
      <c r="T137" s="1">
        <f ca="1">IF(Watchlist[[#This Row],[Note]]="",Watchlist[[#This Row],[Note History]],CONCATENATE(TEXT(TODAY(),"yyyy-mm-dd"),": ",Watchlist[[#This Row],[Note]],". ",,Watchlist[[#This Row],[Note History]]))</f>
        <v>0</v>
      </c>
      <c r="U137">
        <v>0</v>
      </c>
      <c r="V137" t="str">
        <f>IF(Watchlist[[#This Row],[Ticker ]]="","",IF(Watchlist[[#This Row],[Action]]="Delete","N","Y"))</f>
        <v/>
      </c>
    </row>
    <row r="138" spans="4:22" x14ac:dyDescent="0.5">
      <c r="D138">
        <f ca="1">IF(Watchlist[[#This Row],[Grade]]="",Watchlist[[#This Row],[Grade history]],CONCATENATE(TEXT(TODAY(),"yyyy-mm-dd"),": ",Watchlist[[#This Row],[Grade]],". ",,Watchlist[[#This Row],[Grade history]]))</f>
        <v>0</v>
      </c>
      <c r="E138">
        <v>0</v>
      </c>
      <c r="G138">
        <f ca="1">IF(Watchlist[[#This Row],[Price]]="",Watchlist[[#This Row],[Price history]],CONCATENATE(TEXT(TODAY(),"yyyy-mm-dd"),": ",Watchlist[[#This Row],[Price]],". ",,Watchlist[[#This Row],[Price history]]))</f>
        <v>0</v>
      </c>
      <c r="H138">
        <v>0</v>
      </c>
      <c r="K138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38" s="1">
        <v>0</v>
      </c>
      <c r="M138" s="1"/>
      <c r="N138" s="1"/>
      <c r="O138" s="1"/>
      <c r="P138" s="1"/>
      <c r="Q138" s="44"/>
      <c r="R138" s="44"/>
      <c r="S138" s="1"/>
      <c r="T138" s="1">
        <f ca="1">IF(Watchlist[[#This Row],[Note]]="",Watchlist[[#This Row],[Note History]],CONCATENATE(TEXT(TODAY(),"yyyy-mm-dd"),": ",Watchlist[[#This Row],[Note]],". ",,Watchlist[[#This Row],[Note History]]))</f>
        <v>0</v>
      </c>
      <c r="U138">
        <v>0</v>
      </c>
      <c r="V138" t="str">
        <f>IF(Watchlist[[#This Row],[Ticker ]]="","",IF(Watchlist[[#This Row],[Action]]="Delete","N","Y"))</f>
        <v/>
      </c>
    </row>
    <row r="139" spans="4:22" x14ac:dyDescent="0.5">
      <c r="D139">
        <f ca="1">IF(Watchlist[[#This Row],[Grade]]="",Watchlist[[#This Row],[Grade history]],CONCATENATE(TEXT(TODAY(),"yyyy-mm-dd"),": ",Watchlist[[#This Row],[Grade]],". ",,Watchlist[[#This Row],[Grade history]]))</f>
        <v>0</v>
      </c>
      <c r="E139">
        <v>0</v>
      </c>
      <c r="G139">
        <f ca="1">IF(Watchlist[[#This Row],[Price]]="",Watchlist[[#This Row],[Price history]],CONCATENATE(TEXT(TODAY(),"yyyy-mm-dd"),": ",Watchlist[[#This Row],[Price]],". ",,Watchlist[[#This Row],[Price history]]))</f>
        <v>0</v>
      </c>
      <c r="H139">
        <v>0</v>
      </c>
      <c r="K139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39" s="1">
        <v>0</v>
      </c>
      <c r="M139" s="1"/>
      <c r="N139" s="1"/>
      <c r="O139" s="1"/>
      <c r="P139" s="1"/>
      <c r="Q139" s="44"/>
      <c r="R139" s="44"/>
      <c r="S139" s="1"/>
      <c r="T139" s="1">
        <f ca="1">IF(Watchlist[[#This Row],[Note]]="",Watchlist[[#This Row],[Note History]],CONCATENATE(TEXT(TODAY(),"yyyy-mm-dd"),": ",Watchlist[[#This Row],[Note]],". ",,Watchlist[[#This Row],[Note History]]))</f>
        <v>0</v>
      </c>
      <c r="U139">
        <v>0</v>
      </c>
      <c r="V139" t="str">
        <f>IF(Watchlist[[#This Row],[Ticker ]]="","",IF(Watchlist[[#This Row],[Action]]="Delete","N","Y"))</f>
        <v/>
      </c>
    </row>
    <row r="140" spans="4:22" x14ac:dyDescent="0.5">
      <c r="D140">
        <f ca="1">IF(Watchlist[[#This Row],[Grade]]="",Watchlist[[#This Row],[Grade history]],CONCATENATE(TEXT(TODAY(),"yyyy-mm-dd"),": ",Watchlist[[#This Row],[Grade]],". ",,Watchlist[[#This Row],[Grade history]]))</f>
        <v>0</v>
      </c>
      <c r="E140">
        <v>0</v>
      </c>
      <c r="G140">
        <f ca="1">IF(Watchlist[[#This Row],[Price]]="",Watchlist[[#This Row],[Price history]],CONCATENATE(TEXT(TODAY(),"yyyy-mm-dd"),": ",Watchlist[[#This Row],[Price]],". ",,Watchlist[[#This Row],[Price history]]))</f>
        <v>0</v>
      </c>
      <c r="H140">
        <v>0</v>
      </c>
      <c r="K140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40" s="1">
        <v>0</v>
      </c>
      <c r="M140" s="1"/>
      <c r="N140" s="1"/>
      <c r="O140" s="1"/>
      <c r="P140" s="1"/>
      <c r="Q140" s="44"/>
      <c r="R140" s="44"/>
      <c r="S140" s="1"/>
      <c r="T140" s="1">
        <f ca="1">IF(Watchlist[[#This Row],[Note]]="",Watchlist[[#This Row],[Note History]],CONCATENATE(TEXT(TODAY(),"yyyy-mm-dd"),": ",Watchlist[[#This Row],[Note]],". ",,Watchlist[[#This Row],[Note History]]))</f>
        <v>0</v>
      </c>
      <c r="U140">
        <v>0</v>
      </c>
      <c r="V140" t="str">
        <f>IF(Watchlist[[#This Row],[Ticker ]]="","",IF(Watchlist[[#This Row],[Action]]="Delete","N","Y"))</f>
        <v/>
      </c>
    </row>
    <row r="141" spans="4:22" x14ac:dyDescent="0.5">
      <c r="D141">
        <f ca="1">IF(Watchlist[[#This Row],[Grade]]="",Watchlist[[#This Row],[Grade history]],CONCATENATE(TEXT(TODAY(),"yyyy-mm-dd"),": ",Watchlist[[#This Row],[Grade]],". ",,Watchlist[[#This Row],[Grade history]]))</f>
        <v>0</v>
      </c>
      <c r="E141">
        <v>0</v>
      </c>
      <c r="G141">
        <f ca="1">IF(Watchlist[[#This Row],[Price]]="",Watchlist[[#This Row],[Price history]],CONCATENATE(TEXT(TODAY(),"yyyy-mm-dd"),": ",Watchlist[[#This Row],[Price]],". ",,Watchlist[[#This Row],[Price history]]))</f>
        <v>0</v>
      </c>
      <c r="H141">
        <v>0</v>
      </c>
      <c r="K141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41" s="1">
        <v>0</v>
      </c>
      <c r="M141" s="1"/>
      <c r="N141" s="1"/>
      <c r="O141" s="1"/>
      <c r="P141" s="1"/>
      <c r="Q141" s="44"/>
      <c r="R141" s="44"/>
      <c r="S141" s="1"/>
      <c r="T141" s="1">
        <f ca="1">IF(Watchlist[[#This Row],[Note]]="",Watchlist[[#This Row],[Note History]],CONCATENATE(TEXT(TODAY(),"yyyy-mm-dd"),": ",Watchlist[[#This Row],[Note]],". ",,Watchlist[[#This Row],[Note History]]))</f>
        <v>0</v>
      </c>
      <c r="U141">
        <v>0</v>
      </c>
      <c r="V141" t="str">
        <f>IF(Watchlist[[#This Row],[Ticker ]]="","",IF(Watchlist[[#This Row],[Action]]="Delete","N","Y"))</f>
        <v/>
      </c>
    </row>
    <row r="142" spans="4:22" x14ac:dyDescent="0.5">
      <c r="D142">
        <f ca="1">IF(Watchlist[[#This Row],[Grade]]="",Watchlist[[#This Row],[Grade history]],CONCATENATE(TEXT(TODAY(),"yyyy-mm-dd"),": ",Watchlist[[#This Row],[Grade]],". ",,Watchlist[[#This Row],[Grade history]]))</f>
        <v>0</v>
      </c>
      <c r="E142">
        <v>0</v>
      </c>
      <c r="G142">
        <f ca="1">IF(Watchlist[[#This Row],[Price]]="",Watchlist[[#This Row],[Price history]],CONCATENATE(TEXT(TODAY(),"yyyy-mm-dd"),": ",Watchlist[[#This Row],[Price]],". ",,Watchlist[[#This Row],[Price history]]))</f>
        <v>0</v>
      </c>
      <c r="H142">
        <v>0</v>
      </c>
      <c r="K142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42" s="1">
        <v>0</v>
      </c>
      <c r="M142" s="1"/>
      <c r="N142" s="1"/>
      <c r="O142" s="1"/>
      <c r="P142" s="1"/>
      <c r="Q142" s="44"/>
      <c r="R142" s="44"/>
      <c r="S142" s="1"/>
      <c r="T142" s="1">
        <f ca="1">IF(Watchlist[[#This Row],[Note]]="",Watchlist[[#This Row],[Note History]],CONCATENATE(TEXT(TODAY(),"yyyy-mm-dd"),": ",Watchlist[[#This Row],[Note]],". ",,Watchlist[[#This Row],[Note History]]))</f>
        <v>0</v>
      </c>
      <c r="U142">
        <v>0</v>
      </c>
      <c r="V142" t="str">
        <f>IF(Watchlist[[#This Row],[Ticker ]]="","",IF(Watchlist[[#This Row],[Action]]="Delete","N","Y"))</f>
        <v/>
      </c>
    </row>
    <row r="143" spans="4:22" x14ac:dyDescent="0.5">
      <c r="D143">
        <f ca="1">IF(Watchlist[[#This Row],[Grade]]="",Watchlist[[#This Row],[Grade history]],CONCATENATE(TEXT(TODAY(),"yyyy-mm-dd"),": ",Watchlist[[#This Row],[Grade]],". ",,Watchlist[[#This Row],[Grade history]]))</f>
        <v>0</v>
      </c>
      <c r="E143">
        <v>0</v>
      </c>
      <c r="G143">
        <f ca="1">IF(Watchlist[[#This Row],[Price]]="",Watchlist[[#This Row],[Price history]],CONCATENATE(TEXT(TODAY(),"yyyy-mm-dd"),": ",Watchlist[[#This Row],[Price]],". ",,Watchlist[[#This Row],[Price history]]))</f>
        <v>0</v>
      </c>
      <c r="H143">
        <v>0</v>
      </c>
      <c r="K143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43" s="1">
        <v>0</v>
      </c>
      <c r="M143" s="1"/>
      <c r="N143" s="1"/>
      <c r="O143" s="1"/>
      <c r="P143" s="1"/>
      <c r="Q143" s="44"/>
      <c r="R143" s="44"/>
      <c r="S143" s="1"/>
      <c r="T143" s="1">
        <f ca="1">IF(Watchlist[[#This Row],[Note]]="",Watchlist[[#This Row],[Note History]],CONCATENATE(TEXT(TODAY(),"yyyy-mm-dd"),": ",Watchlist[[#This Row],[Note]],". ",,Watchlist[[#This Row],[Note History]]))</f>
        <v>0</v>
      </c>
      <c r="U143">
        <v>0</v>
      </c>
      <c r="V143" t="str">
        <f>IF(Watchlist[[#This Row],[Ticker ]]="","",IF(Watchlist[[#This Row],[Action]]="Delete","N","Y"))</f>
        <v/>
      </c>
    </row>
    <row r="144" spans="4:22" x14ac:dyDescent="0.5">
      <c r="D144">
        <f ca="1">IF(Watchlist[[#This Row],[Grade]]="",Watchlist[[#This Row],[Grade history]],CONCATENATE(TEXT(TODAY(),"yyyy-mm-dd"),": ",Watchlist[[#This Row],[Grade]],". ",,Watchlist[[#This Row],[Grade history]]))</f>
        <v>0</v>
      </c>
      <c r="E144">
        <v>0</v>
      </c>
      <c r="G144">
        <f ca="1">IF(Watchlist[[#This Row],[Price]]="",Watchlist[[#This Row],[Price history]],CONCATENATE(TEXT(TODAY(),"yyyy-mm-dd"),": ",Watchlist[[#This Row],[Price]],". ",,Watchlist[[#This Row],[Price history]]))</f>
        <v>0</v>
      </c>
      <c r="H144">
        <v>0</v>
      </c>
      <c r="K144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44" s="1">
        <v>0</v>
      </c>
      <c r="M144" s="1"/>
      <c r="N144" s="1"/>
      <c r="O144" s="1"/>
      <c r="P144" s="1"/>
      <c r="Q144" s="44"/>
      <c r="R144" s="44"/>
      <c r="S144" s="1"/>
      <c r="T144" s="1">
        <f ca="1">IF(Watchlist[[#This Row],[Note]]="",Watchlist[[#This Row],[Note History]],CONCATENATE(TEXT(TODAY(),"yyyy-mm-dd"),": ",Watchlist[[#This Row],[Note]],". ",,Watchlist[[#This Row],[Note History]]))</f>
        <v>0</v>
      </c>
      <c r="U144">
        <v>0</v>
      </c>
      <c r="V144" t="str">
        <f>IF(Watchlist[[#This Row],[Ticker ]]="","",IF(Watchlist[[#This Row],[Action]]="Delete","N","Y"))</f>
        <v/>
      </c>
    </row>
    <row r="145" spans="4:22" x14ac:dyDescent="0.5">
      <c r="D145">
        <f ca="1">IF(Watchlist[[#This Row],[Grade]]="",Watchlist[[#This Row],[Grade history]],CONCATENATE(TEXT(TODAY(),"yyyy-mm-dd"),": ",Watchlist[[#This Row],[Grade]],". ",,Watchlist[[#This Row],[Grade history]]))</f>
        <v>0</v>
      </c>
      <c r="E145">
        <v>0</v>
      </c>
      <c r="G145">
        <f ca="1">IF(Watchlist[[#This Row],[Price]]="",Watchlist[[#This Row],[Price history]],CONCATENATE(TEXT(TODAY(),"yyyy-mm-dd"),": ",Watchlist[[#This Row],[Price]],". ",,Watchlist[[#This Row],[Price history]]))</f>
        <v>0</v>
      </c>
      <c r="H145">
        <v>0</v>
      </c>
      <c r="K145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45" s="1">
        <v>0</v>
      </c>
      <c r="M145" s="1"/>
      <c r="N145" s="1"/>
      <c r="O145" s="1"/>
      <c r="P145" s="1"/>
      <c r="Q145" s="44"/>
      <c r="R145" s="44"/>
      <c r="S145" s="1"/>
      <c r="T145" s="1">
        <f ca="1">IF(Watchlist[[#This Row],[Note]]="",Watchlist[[#This Row],[Note History]],CONCATENATE(TEXT(TODAY(),"yyyy-mm-dd"),": ",Watchlist[[#This Row],[Note]],". ",,Watchlist[[#This Row],[Note History]]))</f>
        <v>0</v>
      </c>
      <c r="U145">
        <v>0</v>
      </c>
      <c r="V145" t="str">
        <f>IF(Watchlist[[#This Row],[Ticker ]]="","",IF(Watchlist[[#This Row],[Action]]="Delete","N","Y"))</f>
        <v/>
      </c>
    </row>
    <row r="146" spans="4:22" x14ac:dyDescent="0.5">
      <c r="D146">
        <f ca="1">IF(Watchlist[[#This Row],[Grade]]="",Watchlist[[#This Row],[Grade history]],CONCATENATE(TEXT(TODAY(),"yyyy-mm-dd"),": ",Watchlist[[#This Row],[Grade]],". ",,Watchlist[[#This Row],[Grade history]]))</f>
        <v>0</v>
      </c>
      <c r="E146">
        <v>0</v>
      </c>
      <c r="G146">
        <f ca="1">IF(Watchlist[[#This Row],[Price]]="",Watchlist[[#This Row],[Price history]],CONCATENATE(TEXT(TODAY(),"yyyy-mm-dd"),": ",Watchlist[[#This Row],[Price]],". ",,Watchlist[[#This Row],[Price history]]))</f>
        <v>0</v>
      </c>
      <c r="H146">
        <v>0</v>
      </c>
      <c r="K146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46" s="1">
        <v>0</v>
      </c>
      <c r="M146" s="1"/>
      <c r="N146" s="1"/>
      <c r="O146" s="1"/>
      <c r="P146" s="1"/>
      <c r="Q146" s="44"/>
      <c r="R146" s="44"/>
      <c r="S146" s="1"/>
      <c r="T146" s="1">
        <f ca="1">IF(Watchlist[[#This Row],[Note]]="",Watchlist[[#This Row],[Note History]],CONCATENATE(TEXT(TODAY(),"yyyy-mm-dd"),": ",Watchlist[[#This Row],[Note]],". ",,Watchlist[[#This Row],[Note History]]))</f>
        <v>0</v>
      </c>
      <c r="U146">
        <v>0</v>
      </c>
      <c r="V146" t="str">
        <f>IF(Watchlist[[#This Row],[Ticker ]]="","",IF(Watchlist[[#This Row],[Action]]="Delete","N","Y"))</f>
        <v/>
      </c>
    </row>
    <row r="147" spans="4:22" x14ac:dyDescent="0.5">
      <c r="D147">
        <f ca="1">IF(Watchlist[[#This Row],[Grade]]="",Watchlist[[#This Row],[Grade history]],CONCATENATE(TEXT(TODAY(),"yyyy-mm-dd"),": ",Watchlist[[#This Row],[Grade]],". ",,Watchlist[[#This Row],[Grade history]]))</f>
        <v>0</v>
      </c>
      <c r="E147">
        <v>0</v>
      </c>
      <c r="G147">
        <f ca="1">IF(Watchlist[[#This Row],[Price]]="",Watchlist[[#This Row],[Price history]],CONCATENATE(TEXT(TODAY(),"yyyy-mm-dd"),": ",Watchlist[[#This Row],[Price]],". ",,Watchlist[[#This Row],[Price history]]))</f>
        <v>0</v>
      </c>
      <c r="H147">
        <v>0</v>
      </c>
      <c r="K147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47" s="1">
        <v>0</v>
      </c>
      <c r="M147" s="1"/>
      <c r="N147" s="1"/>
      <c r="O147" s="1"/>
      <c r="P147" s="1"/>
      <c r="Q147" s="44"/>
      <c r="R147" s="44"/>
      <c r="S147" s="1"/>
      <c r="T147" s="1">
        <f ca="1">IF(Watchlist[[#This Row],[Note]]="",Watchlist[[#This Row],[Note History]],CONCATENATE(TEXT(TODAY(),"yyyy-mm-dd"),": ",Watchlist[[#This Row],[Note]],". ",,Watchlist[[#This Row],[Note History]]))</f>
        <v>0</v>
      </c>
      <c r="U147">
        <v>0</v>
      </c>
      <c r="V147" t="str">
        <f>IF(Watchlist[[#This Row],[Ticker ]]="","",IF(Watchlist[[#This Row],[Action]]="Delete","N","Y"))</f>
        <v/>
      </c>
    </row>
    <row r="148" spans="4:22" x14ac:dyDescent="0.5">
      <c r="D148">
        <f ca="1">IF(Watchlist[[#This Row],[Grade]]="",Watchlist[[#This Row],[Grade history]],CONCATENATE(TEXT(TODAY(),"yyyy-mm-dd"),": ",Watchlist[[#This Row],[Grade]],". ",,Watchlist[[#This Row],[Grade history]]))</f>
        <v>0</v>
      </c>
      <c r="E148">
        <v>0</v>
      </c>
      <c r="G148">
        <f ca="1">IF(Watchlist[[#This Row],[Price]]="",Watchlist[[#This Row],[Price history]],CONCATENATE(TEXT(TODAY(),"yyyy-mm-dd"),": ",Watchlist[[#This Row],[Price]],". ",,Watchlist[[#This Row],[Price history]]))</f>
        <v>0</v>
      </c>
      <c r="H148">
        <v>0</v>
      </c>
      <c r="K148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48" s="1">
        <v>0</v>
      </c>
      <c r="M148" s="1"/>
      <c r="N148" s="1"/>
      <c r="O148" s="1"/>
      <c r="P148" s="1"/>
      <c r="Q148" s="44"/>
      <c r="R148" s="44"/>
      <c r="S148" s="1"/>
      <c r="T148" s="1">
        <f ca="1">IF(Watchlist[[#This Row],[Note]]="",Watchlist[[#This Row],[Note History]],CONCATENATE(TEXT(TODAY(),"yyyy-mm-dd"),": ",Watchlist[[#This Row],[Note]],". ",,Watchlist[[#This Row],[Note History]]))</f>
        <v>0</v>
      </c>
      <c r="U148">
        <v>0</v>
      </c>
      <c r="V148" t="str">
        <f>IF(Watchlist[[#This Row],[Ticker ]]="","",IF(Watchlist[[#This Row],[Action]]="Delete","N","Y"))</f>
        <v/>
      </c>
    </row>
    <row r="149" spans="4:22" x14ac:dyDescent="0.5">
      <c r="D149">
        <f ca="1">IF(Watchlist[[#This Row],[Grade]]="",Watchlist[[#This Row],[Grade history]],CONCATENATE(TEXT(TODAY(),"yyyy-mm-dd"),": ",Watchlist[[#This Row],[Grade]],". ",,Watchlist[[#This Row],[Grade history]]))</f>
        <v>0</v>
      </c>
      <c r="E149">
        <v>0</v>
      </c>
      <c r="G149">
        <f ca="1">IF(Watchlist[[#This Row],[Price]]="",Watchlist[[#This Row],[Price history]],CONCATENATE(TEXT(TODAY(),"yyyy-mm-dd"),": ",Watchlist[[#This Row],[Price]],". ",,Watchlist[[#This Row],[Price history]]))</f>
        <v>0</v>
      </c>
      <c r="H149">
        <v>0</v>
      </c>
      <c r="K149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49" s="1">
        <v>0</v>
      </c>
      <c r="M149" s="1"/>
      <c r="N149" s="1"/>
      <c r="O149" s="1"/>
      <c r="P149" s="1"/>
      <c r="Q149" s="44"/>
      <c r="R149" s="44"/>
      <c r="S149" s="1"/>
      <c r="T149" s="1">
        <f ca="1">IF(Watchlist[[#This Row],[Note]]="",Watchlist[[#This Row],[Note History]],CONCATENATE(TEXT(TODAY(),"yyyy-mm-dd"),": ",Watchlist[[#This Row],[Note]],". ",,Watchlist[[#This Row],[Note History]]))</f>
        <v>0</v>
      </c>
      <c r="U149">
        <v>0</v>
      </c>
      <c r="V149" t="str">
        <f>IF(Watchlist[[#This Row],[Ticker ]]="","",IF(Watchlist[[#This Row],[Action]]="Delete","N","Y"))</f>
        <v/>
      </c>
    </row>
    <row r="150" spans="4:22" x14ac:dyDescent="0.5">
      <c r="D150">
        <f ca="1">IF(Watchlist[[#This Row],[Grade]]="",Watchlist[[#This Row],[Grade history]],CONCATENATE(TEXT(TODAY(),"yyyy-mm-dd"),": ",Watchlist[[#This Row],[Grade]],". ",,Watchlist[[#This Row],[Grade history]]))</f>
        <v>0</v>
      </c>
      <c r="E150">
        <v>0</v>
      </c>
      <c r="G150">
        <f ca="1">IF(Watchlist[[#This Row],[Price]]="",Watchlist[[#This Row],[Price history]],CONCATENATE(TEXT(TODAY(),"yyyy-mm-dd"),": ",Watchlist[[#This Row],[Price]],". ",,Watchlist[[#This Row],[Price history]]))</f>
        <v>0</v>
      </c>
      <c r="H150">
        <v>0</v>
      </c>
      <c r="K150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50" s="1">
        <v>0</v>
      </c>
      <c r="M150" s="1"/>
      <c r="N150" s="1"/>
      <c r="O150" s="1"/>
      <c r="P150" s="1"/>
      <c r="Q150" s="44"/>
      <c r="R150" s="44"/>
      <c r="S150" s="1"/>
      <c r="T150" s="1">
        <f ca="1">IF(Watchlist[[#This Row],[Note]]="",Watchlist[[#This Row],[Note History]],CONCATENATE(TEXT(TODAY(),"yyyy-mm-dd"),": ",Watchlist[[#This Row],[Note]],". ",,Watchlist[[#This Row],[Note History]]))</f>
        <v>0</v>
      </c>
      <c r="U150">
        <v>0</v>
      </c>
      <c r="V150" t="str">
        <f>IF(Watchlist[[#This Row],[Ticker ]]="","",IF(Watchlist[[#This Row],[Action]]="Delete","N","Y"))</f>
        <v/>
      </c>
    </row>
    <row r="151" spans="4:22" x14ac:dyDescent="0.5">
      <c r="D151">
        <f ca="1">IF(Watchlist[[#This Row],[Grade]]="",Watchlist[[#This Row],[Grade history]],CONCATENATE(TEXT(TODAY(),"yyyy-mm-dd"),": ",Watchlist[[#This Row],[Grade]],". ",,Watchlist[[#This Row],[Grade history]]))</f>
        <v>0</v>
      </c>
      <c r="E151">
        <v>0</v>
      </c>
      <c r="G151">
        <f ca="1">IF(Watchlist[[#This Row],[Price]]="",Watchlist[[#This Row],[Price history]],CONCATENATE(TEXT(TODAY(),"yyyy-mm-dd"),": ",Watchlist[[#This Row],[Price]],". ",,Watchlist[[#This Row],[Price history]]))</f>
        <v>0</v>
      </c>
      <c r="H151">
        <v>0</v>
      </c>
      <c r="K151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51" s="1">
        <v>0</v>
      </c>
      <c r="M151" s="1"/>
      <c r="N151" s="1"/>
      <c r="O151" s="1"/>
      <c r="P151" s="1"/>
      <c r="Q151" s="44"/>
      <c r="R151" s="44"/>
      <c r="S151" s="1"/>
      <c r="T151" s="1">
        <f ca="1">IF(Watchlist[[#This Row],[Note]]="",Watchlist[[#This Row],[Note History]],CONCATENATE(TEXT(TODAY(),"yyyy-mm-dd"),": ",Watchlist[[#This Row],[Note]],". ",,Watchlist[[#This Row],[Note History]]))</f>
        <v>0</v>
      </c>
      <c r="U151">
        <v>0</v>
      </c>
      <c r="V151" t="str">
        <f>IF(Watchlist[[#This Row],[Ticker ]]="","",IF(Watchlist[[#This Row],[Action]]="Delete","N","Y"))</f>
        <v/>
      </c>
    </row>
    <row r="152" spans="4:22" x14ac:dyDescent="0.5">
      <c r="D152">
        <f ca="1">IF(Watchlist[[#This Row],[Grade]]="",Watchlist[[#This Row],[Grade history]],CONCATENATE(TEXT(TODAY(),"yyyy-mm-dd"),": ",Watchlist[[#This Row],[Grade]],". ",,Watchlist[[#This Row],[Grade history]]))</f>
        <v>0</v>
      </c>
      <c r="E152">
        <v>0</v>
      </c>
      <c r="G152">
        <f ca="1">IF(Watchlist[[#This Row],[Price]]="",Watchlist[[#This Row],[Price history]],CONCATENATE(TEXT(TODAY(),"yyyy-mm-dd"),": ",Watchlist[[#This Row],[Price]],". ",,Watchlist[[#This Row],[Price history]]))</f>
        <v>0</v>
      </c>
      <c r="H152">
        <v>0</v>
      </c>
      <c r="K152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52" s="1">
        <v>0</v>
      </c>
      <c r="M152" s="1"/>
      <c r="N152" s="1"/>
      <c r="O152" s="1"/>
      <c r="P152" s="1"/>
      <c r="Q152" s="44"/>
      <c r="R152" s="44"/>
      <c r="S152" s="1"/>
      <c r="T152" s="1">
        <f ca="1">IF(Watchlist[[#This Row],[Note]]="",Watchlist[[#This Row],[Note History]],CONCATENATE(TEXT(TODAY(),"yyyy-mm-dd"),": ",Watchlist[[#This Row],[Note]],". ",,Watchlist[[#This Row],[Note History]]))</f>
        <v>0</v>
      </c>
      <c r="U152">
        <v>0</v>
      </c>
      <c r="V152" t="str">
        <f>IF(Watchlist[[#This Row],[Ticker ]]="","",IF(Watchlist[[#This Row],[Action]]="Delete","N","Y"))</f>
        <v/>
      </c>
    </row>
    <row r="153" spans="4:22" x14ac:dyDescent="0.5">
      <c r="D153">
        <f ca="1">IF(Watchlist[[#This Row],[Grade]]="",Watchlist[[#This Row],[Grade history]],CONCATENATE(TEXT(TODAY(),"yyyy-mm-dd"),": ",Watchlist[[#This Row],[Grade]],". ",,Watchlist[[#This Row],[Grade history]]))</f>
        <v>0</v>
      </c>
      <c r="E153">
        <v>0</v>
      </c>
      <c r="G153">
        <f ca="1">IF(Watchlist[[#This Row],[Price]]="",Watchlist[[#This Row],[Price history]],CONCATENATE(TEXT(TODAY(),"yyyy-mm-dd"),": ",Watchlist[[#This Row],[Price]],". ",,Watchlist[[#This Row],[Price history]]))</f>
        <v>0</v>
      </c>
      <c r="H153">
        <v>0</v>
      </c>
      <c r="K153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53" s="1">
        <v>0</v>
      </c>
      <c r="M153" s="1"/>
      <c r="N153" s="1"/>
      <c r="O153" s="1"/>
      <c r="P153" s="1"/>
      <c r="Q153" s="44"/>
      <c r="R153" s="44"/>
      <c r="S153" s="1"/>
      <c r="T153" s="1">
        <f ca="1">IF(Watchlist[[#This Row],[Note]]="",Watchlist[[#This Row],[Note History]],CONCATENATE(TEXT(TODAY(),"yyyy-mm-dd"),": ",Watchlist[[#This Row],[Note]],". ",,Watchlist[[#This Row],[Note History]]))</f>
        <v>0</v>
      </c>
      <c r="U153">
        <v>0</v>
      </c>
      <c r="V153" t="str">
        <f>IF(Watchlist[[#This Row],[Ticker ]]="","",IF(Watchlist[[#This Row],[Action]]="Delete","N","Y"))</f>
        <v/>
      </c>
    </row>
    <row r="154" spans="4:22" x14ac:dyDescent="0.5">
      <c r="D154">
        <f ca="1">IF(Watchlist[[#This Row],[Grade]]="",Watchlist[[#This Row],[Grade history]],CONCATENATE(TEXT(TODAY(),"yyyy-mm-dd"),": ",Watchlist[[#This Row],[Grade]],". ",,Watchlist[[#This Row],[Grade history]]))</f>
        <v>0</v>
      </c>
      <c r="E154">
        <v>0</v>
      </c>
      <c r="G154">
        <f ca="1">IF(Watchlist[[#This Row],[Price]]="",Watchlist[[#This Row],[Price history]],CONCATENATE(TEXT(TODAY(),"yyyy-mm-dd"),": ",Watchlist[[#This Row],[Price]],". ",,Watchlist[[#This Row],[Price history]]))</f>
        <v>0</v>
      </c>
      <c r="H154">
        <v>0</v>
      </c>
      <c r="K154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54" s="1">
        <v>0</v>
      </c>
      <c r="M154" s="1"/>
      <c r="N154" s="1"/>
      <c r="O154" s="1"/>
      <c r="P154" s="1"/>
      <c r="Q154" s="44"/>
      <c r="R154" s="44"/>
      <c r="S154" s="1"/>
      <c r="T154" s="1">
        <f ca="1">IF(Watchlist[[#This Row],[Note]]="",Watchlist[[#This Row],[Note History]],CONCATENATE(TEXT(TODAY(),"yyyy-mm-dd"),": ",Watchlist[[#This Row],[Note]],". ",,Watchlist[[#This Row],[Note History]]))</f>
        <v>0</v>
      </c>
      <c r="U154">
        <v>0</v>
      </c>
      <c r="V154" t="str">
        <f>IF(Watchlist[[#This Row],[Ticker ]]="","",IF(Watchlist[[#This Row],[Action]]="Delete","N","Y"))</f>
        <v/>
      </c>
    </row>
    <row r="155" spans="4:22" x14ac:dyDescent="0.5">
      <c r="D155">
        <f ca="1">IF(Watchlist[[#This Row],[Grade]]="",Watchlist[[#This Row],[Grade history]],CONCATENATE(TEXT(TODAY(),"yyyy-mm-dd"),": ",Watchlist[[#This Row],[Grade]],". ",,Watchlist[[#This Row],[Grade history]]))</f>
        <v>0</v>
      </c>
      <c r="E155">
        <v>0</v>
      </c>
      <c r="G155">
        <f ca="1">IF(Watchlist[[#This Row],[Price]]="",Watchlist[[#This Row],[Price history]],CONCATENATE(TEXT(TODAY(),"yyyy-mm-dd"),": ",Watchlist[[#This Row],[Price]],". ",,Watchlist[[#This Row],[Price history]]))</f>
        <v>0</v>
      </c>
      <c r="H155">
        <v>0</v>
      </c>
      <c r="K155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55" s="1">
        <v>0</v>
      </c>
      <c r="M155" s="1"/>
      <c r="N155" s="1"/>
      <c r="O155" s="1"/>
      <c r="P155" s="1"/>
      <c r="Q155" s="44"/>
      <c r="R155" s="44"/>
      <c r="S155" s="1"/>
      <c r="T155" s="1">
        <f ca="1">IF(Watchlist[[#This Row],[Note]]="",Watchlist[[#This Row],[Note History]],CONCATENATE(TEXT(TODAY(),"yyyy-mm-dd"),": ",Watchlist[[#This Row],[Note]],". ",,Watchlist[[#This Row],[Note History]]))</f>
        <v>0</v>
      </c>
      <c r="U155">
        <v>0</v>
      </c>
      <c r="V155" t="str">
        <f>IF(Watchlist[[#This Row],[Ticker ]]="","",IF(Watchlist[[#This Row],[Action]]="Delete","N","Y"))</f>
        <v/>
      </c>
    </row>
    <row r="156" spans="4:22" x14ac:dyDescent="0.5">
      <c r="D156">
        <f ca="1">IF(Watchlist[[#This Row],[Grade]]="",Watchlist[[#This Row],[Grade history]],CONCATENATE(TEXT(TODAY(),"yyyy-mm-dd"),": ",Watchlist[[#This Row],[Grade]],". ",,Watchlist[[#This Row],[Grade history]]))</f>
        <v>0</v>
      </c>
      <c r="E156">
        <v>0</v>
      </c>
      <c r="G156">
        <f ca="1">IF(Watchlist[[#This Row],[Price]]="",Watchlist[[#This Row],[Price history]],CONCATENATE(TEXT(TODAY(),"yyyy-mm-dd"),": ",Watchlist[[#This Row],[Price]],". ",,Watchlist[[#This Row],[Price history]]))</f>
        <v>0</v>
      </c>
      <c r="H156">
        <v>0</v>
      </c>
      <c r="K156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56" s="1">
        <v>0</v>
      </c>
      <c r="M156" s="1"/>
      <c r="N156" s="1"/>
      <c r="O156" s="1"/>
      <c r="P156" s="1"/>
      <c r="Q156" s="44"/>
      <c r="R156" s="44"/>
      <c r="S156" s="1"/>
      <c r="T156" s="1">
        <f ca="1">IF(Watchlist[[#This Row],[Note]]="",Watchlist[[#This Row],[Note History]],CONCATENATE(TEXT(TODAY(),"yyyy-mm-dd"),": ",Watchlist[[#This Row],[Note]],". ",,Watchlist[[#This Row],[Note History]]))</f>
        <v>0</v>
      </c>
      <c r="U156">
        <v>0</v>
      </c>
      <c r="V156" t="str">
        <f>IF(Watchlist[[#This Row],[Ticker ]]="","",IF(Watchlist[[#This Row],[Action]]="Delete","N","Y"))</f>
        <v/>
      </c>
    </row>
    <row r="157" spans="4:22" x14ac:dyDescent="0.5">
      <c r="D157">
        <f ca="1">IF(Watchlist[[#This Row],[Grade]]="",Watchlist[[#This Row],[Grade history]],CONCATENATE(TEXT(TODAY(),"yyyy-mm-dd"),": ",Watchlist[[#This Row],[Grade]],". ",,Watchlist[[#This Row],[Grade history]]))</f>
        <v>0</v>
      </c>
      <c r="E157">
        <v>0</v>
      </c>
      <c r="G157">
        <f ca="1">IF(Watchlist[[#This Row],[Price]]="",Watchlist[[#This Row],[Price history]],CONCATENATE(TEXT(TODAY(),"yyyy-mm-dd"),": ",Watchlist[[#This Row],[Price]],". ",,Watchlist[[#This Row],[Price history]]))</f>
        <v>0</v>
      </c>
      <c r="H157">
        <v>0</v>
      </c>
      <c r="K157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57" s="1">
        <v>0</v>
      </c>
      <c r="M157" s="1"/>
      <c r="N157" s="1"/>
      <c r="O157" s="1"/>
      <c r="P157" s="1"/>
      <c r="Q157" s="44"/>
      <c r="R157" s="44"/>
      <c r="S157" s="1"/>
      <c r="T157" s="1">
        <f ca="1">IF(Watchlist[[#This Row],[Note]]="",Watchlist[[#This Row],[Note History]],CONCATENATE(TEXT(TODAY(),"yyyy-mm-dd"),": ",Watchlist[[#This Row],[Note]],". ",,Watchlist[[#This Row],[Note History]]))</f>
        <v>0</v>
      </c>
      <c r="U157">
        <v>0</v>
      </c>
      <c r="V157" t="str">
        <f>IF(Watchlist[[#This Row],[Ticker ]]="","",IF(Watchlist[[#This Row],[Action]]="Delete","N","Y"))</f>
        <v/>
      </c>
    </row>
    <row r="158" spans="4:22" x14ac:dyDescent="0.5">
      <c r="D158">
        <f ca="1">IF(Watchlist[[#This Row],[Grade]]="",Watchlist[[#This Row],[Grade history]],CONCATENATE(TEXT(TODAY(),"yyyy-mm-dd"),": ",Watchlist[[#This Row],[Grade]],". ",,Watchlist[[#This Row],[Grade history]]))</f>
        <v>0</v>
      </c>
      <c r="E158">
        <v>0</v>
      </c>
      <c r="G158">
        <f ca="1">IF(Watchlist[[#This Row],[Price]]="",Watchlist[[#This Row],[Price history]],CONCATENATE(TEXT(TODAY(),"yyyy-mm-dd"),": ",Watchlist[[#This Row],[Price]],". ",,Watchlist[[#This Row],[Price history]]))</f>
        <v>0</v>
      </c>
      <c r="H158">
        <v>0</v>
      </c>
      <c r="K158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58" s="1">
        <v>0</v>
      </c>
      <c r="M158" s="1"/>
      <c r="N158" s="1"/>
      <c r="O158" s="1"/>
      <c r="P158" s="1"/>
      <c r="Q158" s="44"/>
      <c r="R158" s="44"/>
      <c r="S158" s="1"/>
      <c r="T158" s="1">
        <f ca="1">IF(Watchlist[[#This Row],[Note]]="",Watchlist[[#This Row],[Note History]],CONCATENATE(TEXT(TODAY(),"yyyy-mm-dd"),": ",Watchlist[[#This Row],[Note]],". ",,Watchlist[[#This Row],[Note History]]))</f>
        <v>0</v>
      </c>
      <c r="U158">
        <v>0</v>
      </c>
      <c r="V158" t="str">
        <f>IF(Watchlist[[#This Row],[Ticker ]]="","",IF(Watchlist[[#This Row],[Action]]="Delete","N","Y"))</f>
        <v/>
      </c>
    </row>
    <row r="159" spans="4:22" x14ac:dyDescent="0.5">
      <c r="D159">
        <f ca="1">IF(Watchlist[[#This Row],[Grade]]="",Watchlist[[#This Row],[Grade history]],CONCATENATE(TEXT(TODAY(),"yyyy-mm-dd"),": ",Watchlist[[#This Row],[Grade]],". ",,Watchlist[[#This Row],[Grade history]]))</f>
        <v>0</v>
      </c>
      <c r="E159">
        <v>0</v>
      </c>
      <c r="G159">
        <f ca="1">IF(Watchlist[[#This Row],[Price]]="",Watchlist[[#This Row],[Price history]],CONCATENATE(TEXT(TODAY(),"yyyy-mm-dd"),": ",Watchlist[[#This Row],[Price]],". ",,Watchlist[[#This Row],[Price history]]))</f>
        <v>0</v>
      </c>
      <c r="H159">
        <v>0</v>
      </c>
      <c r="K159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59" s="1">
        <v>0</v>
      </c>
      <c r="M159" s="1"/>
      <c r="N159" s="1"/>
      <c r="O159" s="1"/>
      <c r="P159" s="1"/>
      <c r="Q159" s="44"/>
      <c r="R159" s="44"/>
      <c r="S159" s="1"/>
      <c r="T159" s="1">
        <f ca="1">IF(Watchlist[[#This Row],[Note]]="",Watchlist[[#This Row],[Note History]],CONCATENATE(TEXT(TODAY(),"yyyy-mm-dd"),": ",Watchlist[[#This Row],[Note]],". ",,Watchlist[[#This Row],[Note History]]))</f>
        <v>0</v>
      </c>
      <c r="U159">
        <v>0</v>
      </c>
      <c r="V159" t="str">
        <f>IF(Watchlist[[#This Row],[Ticker ]]="","",IF(Watchlist[[#This Row],[Action]]="Delete","N","Y"))</f>
        <v/>
      </c>
    </row>
    <row r="160" spans="4:22" x14ac:dyDescent="0.5">
      <c r="D160">
        <f ca="1">IF(Watchlist[[#This Row],[Grade]]="",Watchlist[[#This Row],[Grade history]],CONCATENATE(TEXT(TODAY(),"yyyy-mm-dd"),": ",Watchlist[[#This Row],[Grade]],". ",,Watchlist[[#This Row],[Grade history]]))</f>
        <v>0</v>
      </c>
      <c r="E160">
        <v>0</v>
      </c>
      <c r="G160">
        <f ca="1">IF(Watchlist[[#This Row],[Price]]="",Watchlist[[#This Row],[Price history]],CONCATENATE(TEXT(TODAY(),"yyyy-mm-dd"),": ",Watchlist[[#This Row],[Price]],". ",,Watchlist[[#This Row],[Price history]]))</f>
        <v>0</v>
      </c>
      <c r="H160">
        <v>0</v>
      </c>
      <c r="K160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60" s="1">
        <v>0</v>
      </c>
      <c r="M160" s="1"/>
      <c r="N160" s="1"/>
      <c r="O160" s="1"/>
      <c r="P160" s="1"/>
      <c r="Q160" s="44"/>
      <c r="R160" s="44"/>
      <c r="S160" s="1"/>
      <c r="T160" s="1">
        <f ca="1">IF(Watchlist[[#This Row],[Note]]="",Watchlist[[#This Row],[Note History]],CONCATENATE(TEXT(TODAY(),"yyyy-mm-dd"),": ",Watchlist[[#This Row],[Note]],". ",,Watchlist[[#This Row],[Note History]]))</f>
        <v>0</v>
      </c>
      <c r="U160">
        <v>0</v>
      </c>
      <c r="V160" t="str">
        <f>IF(Watchlist[[#This Row],[Ticker ]]="","",IF(Watchlist[[#This Row],[Action]]="Delete","N","Y"))</f>
        <v/>
      </c>
    </row>
    <row r="161" spans="4:22" x14ac:dyDescent="0.5">
      <c r="D161">
        <f ca="1">IF(Watchlist[[#This Row],[Grade]]="",Watchlist[[#This Row],[Grade history]],CONCATENATE(TEXT(TODAY(),"yyyy-mm-dd"),": ",Watchlist[[#This Row],[Grade]],". ",,Watchlist[[#This Row],[Grade history]]))</f>
        <v>0</v>
      </c>
      <c r="E161">
        <v>0</v>
      </c>
      <c r="G161">
        <f ca="1">IF(Watchlist[[#This Row],[Price]]="",Watchlist[[#This Row],[Price history]],CONCATENATE(TEXT(TODAY(),"yyyy-mm-dd"),": ",Watchlist[[#This Row],[Price]],". ",,Watchlist[[#This Row],[Price history]]))</f>
        <v>0</v>
      </c>
      <c r="H161">
        <v>0</v>
      </c>
      <c r="K161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61" s="1">
        <v>0</v>
      </c>
      <c r="M161" s="1"/>
      <c r="N161" s="1"/>
      <c r="O161" s="1"/>
      <c r="P161" s="1"/>
      <c r="Q161" s="44"/>
      <c r="R161" s="44"/>
      <c r="S161" s="1"/>
      <c r="T161" s="1">
        <f ca="1">IF(Watchlist[[#This Row],[Note]]="",Watchlist[[#This Row],[Note History]],CONCATENATE(TEXT(TODAY(),"yyyy-mm-dd"),": ",Watchlist[[#This Row],[Note]],". ",,Watchlist[[#This Row],[Note History]]))</f>
        <v>0</v>
      </c>
      <c r="U161">
        <v>0</v>
      </c>
      <c r="V161" t="str">
        <f>IF(Watchlist[[#This Row],[Ticker ]]="","",IF(Watchlist[[#This Row],[Action]]="Delete","N","Y"))</f>
        <v/>
      </c>
    </row>
    <row r="162" spans="4:22" x14ac:dyDescent="0.5">
      <c r="D162">
        <f ca="1">IF(Watchlist[[#This Row],[Grade]]="",Watchlist[[#This Row],[Grade history]],CONCATENATE(TEXT(TODAY(),"yyyy-mm-dd"),": ",Watchlist[[#This Row],[Grade]],". ",,Watchlist[[#This Row],[Grade history]]))</f>
        <v>0</v>
      </c>
      <c r="E162">
        <v>0</v>
      </c>
      <c r="G162">
        <f ca="1">IF(Watchlist[[#This Row],[Price]]="",Watchlist[[#This Row],[Price history]],CONCATENATE(TEXT(TODAY(),"yyyy-mm-dd"),": ",Watchlist[[#This Row],[Price]],". ",,Watchlist[[#This Row],[Price history]]))</f>
        <v>0</v>
      </c>
      <c r="H162">
        <v>0</v>
      </c>
      <c r="K162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62" s="1">
        <v>0</v>
      </c>
      <c r="M162" s="1"/>
      <c r="N162" s="1"/>
      <c r="O162" s="1"/>
      <c r="P162" s="1"/>
      <c r="Q162" s="44"/>
      <c r="R162" s="44"/>
      <c r="S162" s="1"/>
      <c r="T162" s="1">
        <f ca="1">IF(Watchlist[[#This Row],[Note]]="",Watchlist[[#This Row],[Note History]],CONCATENATE(TEXT(TODAY(),"yyyy-mm-dd"),": ",Watchlist[[#This Row],[Note]],". ",,Watchlist[[#This Row],[Note History]]))</f>
        <v>0</v>
      </c>
      <c r="U162">
        <v>0</v>
      </c>
      <c r="V162" t="str">
        <f>IF(Watchlist[[#This Row],[Ticker ]]="","",IF(Watchlist[[#This Row],[Action]]="Delete","N","Y"))</f>
        <v/>
      </c>
    </row>
    <row r="163" spans="4:22" x14ac:dyDescent="0.5">
      <c r="D163">
        <f ca="1">IF(Watchlist[[#This Row],[Grade]]="",Watchlist[[#This Row],[Grade history]],CONCATENATE(TEXT(TODAY(),"yyyy-mm-dd"),": ",Watchlist[[#This Row],[Grade]],". ",,Watchlist[[#This Row],[Grade history]]))</f>
        <v>0</v>
      </c>
      <c r="E163">
        <v>0</v>
      </c>
      <c r="G163">
        <f ca="1">IF(Watchlist[[#This Row],[Price]]="",Watchlist[[#This Row],[Price history]],CONCATENATE(TEXT(TODAY(),"yyyy-mm-dd"),": ",Watchlist[[#This Row],[Price]],". ",,Watchlist[[#This Row],[Price history]]))</f>
        <v>0</v>
      </c>
      <c r="H163">
        <v>0</v>
      </c>
      <c r="K163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63" s="1">
        <v>0</v>
      </c>
      <c r="M163" s="1"/>
      <c r="N163" s="1"/>
      <c r="O163" s="1"/>
      <c r="P163" s="1"/>
      <c r="Q163" s="44"/>
      <c r="R163" s="44"/>
      <c r="S163" s="1"/>
      <c r="T163" s="1">
        <f ca="1">IF(Watchlist[[#This Row],[Note]]="",Watchlist[[#This Row],[Note History]],CONCATENATE(TEXT(TODAY(),"yyyy-mm-dd"),": ",Watchlist[[#This Row],[Note]],". ",,Watchlist[[#This Row],[Note History]]))</f>
        <v>0</v>
      </c>
      <c r="U163">
        <v>0</v>
      </c>
      <c r="V163" t="str">
        <f>IF(Watchlist[[#This Row],[Ticker ]]="","",IF(Watchlist[[#This Row],[Action]]="Delete","N","Y"))</f>
        <v/>
      </c>
    </row>
    <row r="164" spans="4:22" x14ac:dyDescent="0.5">
      <c r="D164">
        <f ca="1">IF(Watchlist[[#This Row],[Grade]]="",Watchlist[[#This Row],[Grade history]],CONCATENATE(TEXT(TODAY(),"yyyy-mm-dd"),": ",Watchlist[[#This Row],[Grade]],". ",,Watchlist[[#This Row],[Grade history]]))</f>
        <v>0</v>
      </c>
      <c r="E164">
        <v>0</v>
      </c>
      <c r="G164">
        <f ca="1">IF(Watchlist[[#This Row],[Price]]="",Watchlist[[#This Row],[Price history]],CONCATENATE(TEXT(TODAY(),"yyyy-mm-dd"),": ",Watchlist[[#This Row],[Price]],". ",,Watchlist[[#This Row],[Price history]]))</f>
        <v>0</v>
      </c>
      <c r="H164">
        <v>0</v>
      </c>
      <c r="K164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64" s="1">
        <v>0</v>
      </c>
      <c r="M164" s="1"/>
      <c r="N164" s="1"/>
      <c r="O164" s="1"/>
      <c r="P164" s="1"/>
      <c r="Q164" s="44"/>
      <c r="R164" s="44"/>
      <c r="S164" s="1"/>
      <c r="T164" s="1">
        <f ca="1">IF(Watchlist[[#This Row],[Note]]="",Watchlist[[#This Row],[Note History]],CONCATENATE(TEXT(TODAY(),"yyyy-mm-dd"),": ",Watchlist[[#This Row],[Note]],". ",,Watchlist[[#This Row],[Note History]]))</f>
        <v>0</v>
      </c>
      <c r="U164">
        <v>0</v>
      </c>
      <c r="V164" t="str">
        <f>IF(Watchlist[[#This Row],[Ticker ]]="","",IF(Watchlist[[#This Row],[Action]]="Delete","N","Y"))</f>
        <v/>
      </c>
    </row>
    <row r="165" spans="4:22" x14ac:dyDescent="0.5">
      <c r="D165">
        <f ca="1">IF(Watchlist[[#This Row],[Grade]]="",Watchlist[[#This Row],[Grade history]],CONCATENATE(TEXT(TODAY(),"yyyy-mm-dd"),": ",Watchlist[[#This Row],[Grade]],". ",,Watchlist[[#This Row],[Grade history]]))</f>
        <v>0</v>
      </c>
      <c r="E165">
        <v>0</v>
      </c>
      <c r="G165">
        <f ca="1">IF(Watchlist[[#This Row],[Price]]="",Watchlist[[#This Row],[Price history]],CONCATENATE(TEXT(TODAY(),"yyyy-mm-dd"),": ",Watchlist[[#This Row],[Price]],". ",,Watchlist[[#This Row],[Price history]]))</f>
        <v>0</v>
      </c>
      <c r="H165">
        <v>0</v>
      </c>
      <c r="K165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65" s="1">
        <v>0</v>
      </c>
      <c r="M165" s="1"/>
      <c r="N165" s="1"/>
      <c r="O165" s="1"/>
      <c r="P165" s="1"/>
      <c r="Q165" s="44"/>
      <c r="R165" s="44"/>
      <c r="S165" s="1"/>
      <c r="T165" s="1">
        <f ca="1">IF(Watchlist[[#This Row],[Note]]="",Watchlist[[#This Row],[Note History]],CONCATENATE(TEXT(TODAY(),"yyyy-mm-dd"),": ",Watchlist[[#This Row],[Note]],". ",,Watchlist[[#This Row],[Note History]]))</f>
        <v>0</v>
      </c>
      <c r="U165">
        <v>0</v>
      </c>
      <c r="V165" t="str">
        <f>IF(Watchlist[[#This Row],[Ticker ]]="","",IF(Watchlist[[#This Row],[Action]]="Delete","N","Y"))</f>
        <v/>
      </c>
    </row>
    <row r="166" spans="4:22" x14ac:dyDescent="0.5">
      <c r="D166">
        <f ca="1">IF(Watchlist[[#This Row],[Grade]]="",Watchlist[[#This Row],[Grade history]],CONCATENATE(TEXT(TODAY(),"yyyy-mm-dd"),": ",Watchlist[[#This Row],[Grade]],". ",,Watchlist[[#This Row],[Grade history]]))</f>
        <v>0</v>
      </c>
      <c r="E166">
        <v>0</v>
      </c>
      <c r="G166">
        <f ca="1">IF(Watchlist[[#This Row],[Price]]="",Watchlist[[#This Row],[Price history]],CONCATENATE(TEXT(TODAY(),"yyyy-mm-dd"),": ",Watchlist[[#This Row],[Price]],". ",,Watchlist[[#This Row],[Price history]]))</f>
        <v>0</v>
      </c>
      <c r="H166">
        <v>0</v>
      </c>
      <c r="K166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66" s="1">
        <v>0</v>
      </c>
      <c r="M166" s="1"/>
      <c r="N166" s="1"/>
      <c r="O166" s="1"/>
      <c r="P166" s="1"/>
      <c r="Q166" s="44"/>
      <c r="R166" s="44"/>
      <c r="S166" s="1"/>
      <c r="T166" s="1">
        <f ca="1">IF(Watchlist[[#This Row],[Note]]="",Watchlist[[#This Row],[Note History]],CONCATENATE(TEXT(TODAY(),"yyyy-mm-dd"),": ",Watchlist[[#This Row],[Note]],". ",,Watchlist[[#This Row],[Note History]]))</f>
        <v>0</v>
      </c>
      <c r="U166">
        <v>0</v>
      </c>
      <c r="V166" t="str">
        <f>IF(Watchlist[[#This Row],[Ticker ]]="","",IF(Watchlist[[#This Row],[Action]]="Delete","N","Y"))</f>
        <v/>
      </c>
    </row>
    <row r="167" spans="4:22" x14ac:dyDescent="0.5">
      <c r="D167">
        <f ca="1">IF(Watchlist[[#This Row],[Grade]]="",Watchlist[[#This Row],[Grade history]],CONCATENATE(TEXT(TODAY(),"yyyy-mm-dd"),": ",Watchlist[[#This Row],[Grade]],". ",,Watchlist[[#This Row],[Grade history]]))</f>
        <v>0</v>
      </c>
      <c r="E167">
        <v>0</v>
      </c>
      <c r="G167">
        <f ca="1">IF(Watchlist[[#This Row],[Price]]="",Watchlist[[#This Row],[Price history]],CONCATENATE(TEXT(TODAY(),"yyyy-mm-dd"),": ",Watchlist[[#This Row],[Price]],". ",,Watchlist[[#This Row],[Price history]]))</f>
        <v>0</v>
      </c>
      <c r="H167">
        <v>0</v>
      </c>
      <c r="K167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67" s="1">
        <v>0</v>
      </c>
      <c r="M167" s="1"/>
      <c r="N167" s="1"/>
      <c r="O167" s="1"/>
      <c r="P167" s="1"/>
      <c r="Q167" s="44"/>
      <c r="R167" s="44"/>
      <c r="S167" s="1"/>
      <c r="T167" s="1">
        <f ca="1">IF(Watchlist[[#This Row],[Note]]="",Watchlist[[#This Row],[Note History]],CONCATENATE(TEXT(TODAY(),"yyyy-mm-dd"),": ",Watchlist[[#This Row],[Note]],". ",,Watchlist[[#This Row],[Note History]]))</f>
        <v>0</v>
      </c>
      <c r="U167">
        <v>0</v>
      </c>
      <c r="V167" t="str">
        <f>IF(Watchlist[[#This Row],[Ticker ]]="","",IF(Watchlist[[#This Row],[Action]]="Delete","N","Y"))</f>
        <v/>
      </c>
    </row>
    <row r="168" spans="4:22" x14ac:dyDescent="0.5">
      <c r="D168">
        <f ca="1">IF(Watchlist[[#This Row],[Grade]]="",Watchlist[[#This Row],[Grade history]],CONCATENATE(TEXT(TODAY(),"yyyy-mm-dd"),": ",Watchlist[[#This Row],[Grade]],". ",,Watchlist[[#This Row],[Grade history]]))</f>
        <v>0</v>
      </c>
      <c r="E168">
        <v>0</v>
      </c>
      <c r="G168">
        <f ca="1">IF(Watchlist[[#This Row],[Price]]="",Watchlist[[#This Row],[Price history]],CONCATENATE(TEXT(TODAY(),"yyyy-mm-dd"),": ",Watchlist[[#This Row],[Price]],". ",,Watchlist[[#This Row],[Price history]]))</f>
        <v>0</v>
      </c>
      <c r="H168">
        <v>0</v>
      </c>
      <c r="K168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68" s="1">
        <v>0</v>
      </c>
      <c r="M168" s="1"/>
      <c r="N168" s="1"/>
      <c r="O168" s="1"/>
      <c r="P168" s="1"/>
      <c r="Q168" s="44"/>
      <c r="R168" s="44"/>
      <c r="S168" s="1"/>
      <c r="T168" s="1">
        <f ca="1">IF(Watchlist[[#This Row],[Note]]="",Watchlist[[#This Row],[Note History]],CONCATENATE(TEXT(TODAY(),"yyyy-mm-dd"),": ",Watchlist[[#This Row],[Note]],". ",,Watchlist[[#This Row],[Note History]]))</f>
        <v>0</v>
      </c>
      <c r="U168">
        <v>0</v>
      </c>
      <c r="V168" t="str">
        <f>IF(Watchlist[[#This Row],[Ticker ]]="","",IF(Watchlist[[#This Row],[Action]]="Delete","N","Y"))</f>
        <v/>
      </c>
    </row>
    <row r="169" spans="4:22" x14ac:dyDescent="0.5">
      <c r="D169">
        <f ca="1">IF(Watchlist[[#This Row],[Grade]]="",Watchlist[[#This Row],[Grade history]],CONCATENATE(TEXT(TODAY(),"yyyy-mm-dd"),": ",Watchlist[[#This Row],[Grade]],". ",,Watchlist[[#This Row],[Grade history]]))</f>
        <v>0</v>
      </c>
      <c r="E169">
        <v>0</v>
      </c>
      <c r="G169">
        <f ca="1">IF(Watchlist[[#This Row],[Price]]="",Watchlist[[#This Row],[Price history]],CONCATENATE(TEXT(TODAY(),"yyyy-mm-dd"),": ",Watchlist[[#This Row],[Price]],". ",,Watchlist[[#This Row],[Price history]]))</f>
        <v>0</v>
      </c>
      <c r="H169">
        <v>0</v>
      </c>
      <c r="K169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69" s="1">
        <v>0</v>
      </c>
      <c r="M169" s="1"/>
      <c r="N169" s="1"/>
      <c r="O169" s="1"/>
      <c r="P169" s="1"/>
      <c r="Q169" s="44"/>
      <c r="R169" s="44"/>
      <c r="S169" s="1"/>
      <c r="T169" s="1">
        <f ca="1">IF(Watchlist[[#This Row],[Note]]="",Watchlist[[#This Row],[Note History]],CONCATENATE(TEXT(TODAY(),"yyyy-mm-dd"),": ",Watchlist[[#This Row],[Note]],". ",,Watchlist[[#This Row],[Note History]]))</f>
        <v>0</v>
      </c>
      <c r="U169">
        <v>0</v>
      </c>
      <c r="V169" t="str">
        <f>IF(Watchlist[[#This Row],[Ticker ]]="","",IF(Watchlist[[#This Row],[Action]]="Delete","N","Y"))</f>
        <v/>
      </c>
    </row>
    <row r="170" spans="4:22" x14ac:dyDescent="0.5">
      <c r="D170">
        <f ca="1">IF(Watchlist[[#This Row],[Grade]]="",Watchlist[[#This Row],[Grade history]],CONCATENATE(TEXT(TODAY(),"yyyy-mm-dd"),": ",Watchlist[[#This Row],[Grade]],". ",,Watchlist[[#This Row],[Grade history]]))</f>
        <v>0</v>
      </c>
      <c r="E170">
        <v>0</v>
      </c>
      <c r="G170">
        <f ca="1">IF(Watchlist[[#This Row],[Price]]="",Watchlist[[#This Row],[Price history]],CONCATENATE(TEXT(TODAY(),"yyyy-mm-dd"),": ",Watchlist[[#This Row],[Price]],". ",,Watchlist[[#This Row],[Price history]]))</f>
        <v>0</v>
      </c>
      <c r="H170">
        <v>0</v>
      </c>
      <c r="K170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70" s="1">
        <v>0</v>
      </c>
      <c r="M170" s="1"/>
      <c r="N170" s="1"/>
      <c r="O170" s="1"/>
      <c r="P170" s="1"/>
      <c r="Q170" s="44"/>
      <c r="R170" s="44"/>
      <c r="S170" s="1"/>
      <c r="T170" s="1">
        <f ca="1">IF(Watchlist[[#This Row],[Note]]="",Watchlist[[#This Row],[Note History]],CONCATENATE(TEXT(TODAY(),"yyyy-mm-dd"),": ",Watchlist[[#This Row],[Note]],". ",,Watchlist[[#This Row],[Note History]]))</f>
        <v>0</v>
      </c>
      <c r="U170">
        <v>0</v>
      </c>
      <c r="V170" t="str">
        <f>IF(Watchlist[[#This Row],[Ticker ]]="","",IF(Watchlist[[#This Row],[Action]]="Delete","N","Y"))</f>
        <v/>
      </c>
    </row>
    <row r="171" spans="4:22" x14ac:dyDescent="0.5">
      <c r="D171">
        <f ca="1">IF(Watchlist[[#This Row],[Grade]]="",Watchlist[[#This Row],[Grade history]],CONCATENATE(TEXT(TODAY(),"yyyy-mm-dd"),": ",Watchlist[[#This Row],[Grade]],". ",,Watchlist[[#This Row],[Grade history]]))</f>
        <v>0</v>
      </c>
      <c r="E171">
        <v>0</v>
      </c>
      <c r="G171">
        <f ca="1">IF(Watchlist[[#This Row],[Price]]="",Watchlist[[#This Row],[Price history]],CONCATENATE(TEXT(TODAY(),"yyyy-mm-dd"),": ",Watchlist[[#This Row],[Price]],". ",,Watchlist[[#This Row],[Price history]]))</f>
        <v>0</v>
      </c>
      <c r="H171">
        <v>0</v>
      </c>
      <c r="K171" s="1">
        <f ca="1">IF(Watchlist[[#This Row],[Analysis]]="",Watchlist[[#This Row],[Analysis History]],CONCATENATE(TEXT(TODAY(),"mmm-dd-yyyy"),": ",Watchlist[[#This Row],[Analysis]],". ",,Watchlist[[#This Row],[Analysis History]]))</f>
        <v>0</v>
      </c>
      <c r="L171" s="1">
        <v>0</v>
      </c>
      <c r="M171" s="1"/>
      <c r="N171" s="1"/>
      <c r="O171" s="1"/>
      <c r="P171" s="1"/>
      <c r="Q171" s="44"/>
      <c r="R171" s="44"/>
      <c r="S171" s="1"/>
      <c r="T171" s="1">
        <f ca="1">IF(Watchlist[[#This Row],[Note]]="",Watchlist[[#This Row],[Note History]],CONCATENATE(TEXT(TODAY(),"yyyy-mm-dd"),": ",Watchlist[[#This Row],[Note]],". ",,Watchlist[[#This Row],[Note History]]))</f>
        <v>0</v>
      </c>
      <c r="U171">
        <v>0</v>
      </c>
      <c r="V171" t="str">
        <f>IF(Watchlist[[#This Row],[Ticker ]]="","",IF(Watchlist[[#This Row],[Action]]="Delete","N","Y"))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EndOfSession">
                <anchor moveWithCells="1" sizeWithCells="1">
                  <from>
                    <xdr:col>2</xdr:col>
                    <xdr:colOff>142875</xdr:colOff>
                    <xdr:row>0</xdr:row>
                    <xdr:rowOff>95250</xdr:rowOff>
                  </from>
                  <to>
                    <xdr:col>5</xdr:col>
                    <xdr:colOff>47625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D3C1982-918F-4B36-8030-F7C991B21725}">
          <x14:formula1>
            <xm:f>Dropdown!$B$1:$B$3</xm:f>
          </x14:formula1>
          <xm:sqref>C3:C1048576</xm:sqref>
        </x14:dataValidation>
        <x14:dataValidation type="list" allowBlank="1" showInputMessage="1" showErrorMessage="1" xr:uid="{F809BAD7-CACC-45E7-95DA-EB757A8B7BDD}">
          <x14:formula1>
            <xm:f>Dropdown!$A$6:$A$8</xm:f>
          </x14:formula1>
          <xm:sqref>I3:I1048576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2A594-65FE-4482-A5F8-EE707EB2AC1A}">
  <sheetPr codeName="Sheet2"/>
  <dimension ref="A1:AA531"/>
  <sheetViews>
    <sheetView tabSelected="1" zoomScale="85" zoomScaleNormal="85" workbookViewId="0">
      <selection sqref="A1:XFD1"/>
    </sheetView>
  </sheetViews>
  <sheetFormatPr defaultRowHeight="15" x14ac:dyDescent="0.25"/>
  <cols>
    <col min="1" max="1" width="12" customWidth="1"/>
    <col min="3" max="5" width="9.28515625" style="29" bestFit="1" customWidth="1"/>
    <col min="6" max="6" width="11.7109375" style="29" bestFit="1" customWidth="1"/>
    <col min="7" max="7" width="11.5703125" style="29" bestFit="1" customWidth="1"/>
    <col min="8" max="9" width="12.5703125" style="36" bestFit="1" customWidth="1"/>
    <col min="10" max="12" width="9.28515625" style="29" bestFit="1" customWidth="1"/>
    <col min="14" max="14" width="9.140625" style="29"/>
    <col min="15" max="15" width="9.5703125" style="29" bestFit="1" customWidth="1"/>
    <col min="17" max="17" width="15.7109375" style="29" bestFit="1" customWidth="1"/>
    <col min="18" max="18" width="9.140625" style="29"/>
    <col min="19" max="19" width="9.140625" style="25"/>
    <col min="20" max="20" width="10.5703125" style="25" customWidth="1"/>
    <col min="22" max="23" width="9.140625" style="21"/>
    <col min="26" max="27" width="9.140625" style="21"/>
  </cols>
  <sheetData>
    <row r="1" spans="1:27" x14ac:dyDescent="0.25">
      <c r="A1" s="8" t="s">
        <v>31</v>
      </c>
      <c r="B1" s="9" t="s">
        <v>34</v>
      </c>
      <c r="C1" s="26" t="s">
        <v>39</v>
      </c>
      <c r="D1" s="26" t="s">
        <v>40</v>
      </c>
      <c r="E1" s="26" t="s">
        <v>41</v>
      </c>
      <c r="F1" s="26" t="s">
        <v>42</v>
      </c>
      <c r="G1" s="26" t="s">
        <v>43</v>
      </c>
      <c r="H1" s="33" t="s">
        <v>44</v>
      </c>
      <c r="I1" s="33" t="s">
        <v>45</v>
      </c>
      <c r="J1" s="26" t="s">
        <v>46</v>
      </c>
      <c r="K1" s="26" t="s">
        <v>47</v>
      </c>
      <c r="L1" s="26" t="s">
        <v>48</v>
      </c>
      <c r="M1" s="7" t="s">
        <v>49</v>
      </c>
      <c r="N1" s="26" t="s">
        <v>50</v>
      </c>
      <c r="O1" s="26" t="s">
        <v>51</v>
      </c>
      <c r="P1" s="7" t="s">
        <v>52</v>
      </c>
      <c r="Q1" s="30" t="s">
        <v>53</v>
      </c>
      <c r="R1" s="30" t="s">
        <v>54</v>
      </c>
      <c r="S1" s="22" t="s">
        <v>55</v>
      </c>
      <c r="T1" s="22" t="s">
        <v>56</v>
      </c>
      <c r="U1" s="10" t="s">
        <v>61</v>
      </c>
      <c r="V1" s="18" t="s">
        <v>62</v>
      </c>
      <c r="W1" s="18" t="s">
        <v>63</v>
      </c>
      <c r="X1" s="10" t="s">
        <v>64</v>
      </c>
      <c r="Y1" s="10" t="s">
        <v>65</v>
      </c>
      <c r="Z1" s="18" t="s">
        <v>68</v>
      </c>
      <c r="AA1" s="18" t="s">
        <v>57</v>
      </c>
    </row>
    <row r="2" spans="1:27" x14ac:dyDescent="0.25">
      <c r="A2" s="11" t="s">
        <v>3</v>
      </c>
      <c r="B2" s="12"/>
      <c r="C2" s="27"/>
      <c r="D2" s="27"/>
      <c r="E2" s="27"/>
      <c r="F2" s="27"/>
      <c r="G2" s="27"/>
      <c r="H2" s="34"/>
      <c r="I2" s="34"/>
      <c r="J2" s="27"/>
      <c r="K2" s="27"/>
      <c r="L2" s="27"/>
      <c r="M2" s="5"/>
      <c r="N2" s="27"/>
      <c r="O2" s="27"/>
      <c r="P2" s="5"/>
      <c r="Q2" s="31"/>
      <c r="R2" s="31"/>
      <c r="S2" s="23"/>
      <c r="T2" s="23"/>
      <c r="U2" s="13"/>
      <c r="V2" s="19"/>
      <c r="W2" s="19"/>
      <c r="X2" s="13"/>
      <c r="Y2" s="13"/>
      <c r="Z2" s="19"/>
      <c r="AA2" s="19"/>
    </row>
    <row r="3" spans="1:27" x14ac:dyDescent="0.25">
      <c r="A3" s="11" t="s">
        <v>98</v>
      </c>
      <c r="B3" s="12"/>
      <c r="C3" s="27"/>
      <c r="D3" s="27"/>
      <c r="E3" s="27"/>
      <c r="F3" s="27"/>
      <c r="G3" s="27"/>
      <c r="H3" s="34"/>
      <c r="I3" s="34"/>
      <c r="J3" s="27"/>
      <c r="K3" s="27"/>
      <c r="L3" s="27"/>
      <c r="M3" s="5"/>
      <c r="N3" s="27"/>
      <c r="O3" s="27"/>
      <c r="P3" s="5"/>
      <c r="Q3" s="31"/>
      <c r="R3" s="31"/>
      <c r="S3" s="23"/>
      <c r="T3" s="23"/>
      <c r="U3" s="13"/>
      <c r="V3" s="19"/>
      <c r="W3" s="19"/>
      <c r="X3" s="13"/>
      <c r="Y3" s="13"/>
      <c r="Z3" s="19"/>
      <c r="AA3" s="19"/>
    </row>
    <row r="4" spans="1:27" x14ac:dyDescent="0.25">
      <c r="A4" s="11" t="s">
        <v>99</v>
      </c>
      <c r="B4" s="12"/>
      <c r="C4" s="27"/>
      <c r="D4" s="27"/>
      <c r="E4" s="27"/>
      <c r="F4" s="27"/>
      <c r="G4" s="27"/>
      <c r="H4" s="34"/>
      <c r="I4" s="34"/>
      <c r="J4" s="27"/>
      <c r="K4" s="27"/>
      <c r="L4" s="27"/>
      <c r="M4" s="5"/>
      <c r="N4" s="27"/>
      <c r="O4" s="27"/>
      <c r="P4" s="5"/>
      <c r="Q4" s="31"/>
      <c r="R4" s="31"/>
      <c r="S4" s="23"/>
      <c r="T4" s="23"/>
      <c r="U4" s="13"/>
      <c r="V4" s="19"/>
      <c r="W4" s="19"/>
      <c r="X4" s="13"/>
      <c r="Y4" s="13"/>
      <c r="Z4" s="19"/>
      <c r="AA4" s="19"/>
    </row>
    <row r="5" spans="1:27" x14ac:dyDescent="0.25">
      <c r="A5" s="11"/>
      <c r="B5" s="12"/>
      <c r="C5" s="27"/>
      <c r="D5" s="27"/>
      <c r="E5" s="27"/>
      <c r="F5" s="27"/>
      <c r="G5" s="27"/>
      <c r="H5" s="34"/>
      <c r="I5" s="34"/>
      <c r="J5" s="27"/>
      <c r="K5" s="27"/>
      <c r="L5" s="27"/>
      <c r="M5" s="5"/>
      <c r="N5" s="27"/>
      <c r="O5" s="27"/>
      <c r="P5" s="5"/>
      <c r="Q5" s="31"/>
      <c r="R5" s="31"/>
      <c r="S5" s="23"/>
      <c r="T5" s="23"/>
      <c r="U5" s="13"/>
      <c r="V5" s="19"/>
      <c r="W5" s="19"/>
      <c r="X5" s="13"/>
      <c r="Y5" s="13"/>
      <c r="Z5" s="19"/>
      <c r="AA5" s="19"/>
    </row>
    <row r="6" spans="1:27" x14ac:dyDescent="0.25">
      <c r="A6" s="11"/>
      <c r="B6" s="12"/>
      <c r="C6" s="27"/>
      <c r="D6" s="27"/>
      <c r="E6" s="27"/>
      <c r="F6" s="27"/>
      <c r="G6" s="27"/>
      <c r="H6" s="34"/>
      <c r="I6" s="34"/>
      <c r="J6" s="27"/>
      <c r="K6" s="27"/>
      <c r="L6" s="27"/>
      <c r="M6" s="5"/>
      <c r="N6" s="27"/>
      <c r="O6" s="27"/>
      <c r="P6" s="5"/>
      <c r="Q6" s="31"/>
      <c r="R6" s="31"/>
      <c r="S6" s="23"/>
      <c r="T6" s="23"/>
      <c r="U6" s="13"/>
      <c r="V6" s="19"/>
      <c r="W6" s="19"/>
      <c r="X6" s="13"/>
      <c r="Y6" s="13"/>
      <c r="Z6" s="19"/>
      <c r="AA6" s="19"/>
    </row>
    <row r="7" spans="1:27" x14ac:dyDescent="0.25">
      <c r="A7" s="11"/>
      <c r="B7" s="12"/>
      <c r="C7" s="27"/>
      <c r="D7" s="27"/>
      <c r="E7" s="27"/>
      <c r="F7" s="27"/>
      <c r="G7" s="27"/>
      <c r="H7" s="34"/>
      <c r="I7" s="34"/>
      <c r="J7" s="27"/>
      <c r="K7" s="27"/>
      <c r="L7" s="27"/>
      <c r="M7" s="5"/>
      <c r="N7" s="27"/>
      <c r="O7" s="27"/>
      <c r="P7" s="5"/>
      <c r="Q7" s="31"/>
      <c r="R7" s="31"/>
      <c r="S7" s="23"/>
      <c r="T7" s="23"/>
      <c r="U7" s="13"/>
      <c r="V7" s="19"/>
      <c r="W7" s="19"/>
      <c r="X7" s="13"/>
      <c r="Y7" s="13"/>
      <c r="Z7" s="19"/>
      <c r="AA7" s="19"/>
    </row>
    <row r="8" spans="1:27" x14ac:dyDescent="0.25">
      <c r="A8" s="11"/>
      <c r="B8" s="12"/>
      <c r="C8" s="27"/>
      <c r="D8" s="27"/>
      <c r="E8" s="27"/>
      <c r="F8" s="27"/>
      <c r="G8" s="27"/>
      <c r="H8" s="34"/>
      <c r="I8" s="34"/>
      <c r="J8" s="27"/>
      <c r="K8" s="27"/>
      <c r="L8" s="27"/>
      <c r="M8" s="5"/>
      <c r="N8" s="27"/>
      <c r="O8" s="27"/>
      <c r="P8" s="5"/>
      <c r="Q8" s="31"/>
      <c r="R8" s="31"/>
      <c r="S8" s="23"/>
      <c r="T8" s="23"/>
      <c r="U8" s="13"/>
      <c r="V8" s="19"/>
      <c r="W8" s="19"/>
      <c r="X8" s="13"/>
      <c r="Y8" s="13"/>
      <c r="Z8" s="19"/>
      <c r="AA8" s="19"/>
    </row>
    <row r="9" spans="1:27" x14ac:dyDescent="0.25">
      <c r="A9" s="11"/>
      <c r="B9" s="12"/>
      <c r="C9" s="27"/>
      <c r="D9" s="27"/>
      <c r="E9" s="27"/>
      <c r="F9" s="27"/>
      <c r="G9" s="27"/>
      <c r="H9" s="34"/>
      <c r="I9" s="34"/>
      <c r="J9" s="27"/>
      <c r="K9" s="27"/>
      <c r="L9" s="27"/>
      <c r="M9" s="5"/>
      <c r="N9" s="27"/>
      <c r="O9" s="27"/>
      <c r="P9" s="5"/>
      <c r="Q9" s="31"/>
      <c r="R9" s="31"/>
      <c r="S9" s="23"/>
      <c r="T9" s="23"/>
      <c r="U9" s="13"/>
      <c r="V9" s="19"/>
      <c r="W9" s="19"/>
      <c r="X9" s="13"/>
      <c r="Y9" s="13"/>
      <c r="Z9" s="19"/>
      <c r="AA9" s="19"/>
    </row>
    <row r="10" spans="1:27" x14ac:dyDescent="0.25">
      <c r="A10" s="11"/>
      <c r="B10" s="12"/>
      <c r="C10" s="27"/>
      <c r="D10" s="27"/>
      <c r="E10" s="27"/>
      <c r="F10" s="27"/>
      <c r="G10" s="27"/>
      <c r="H10" s="34"/>
      <c r="I10" s="34"/>
      <c r="J10" s="27"/>
      <c r="K10" s="27"/>
      <c r="L10" s="27"/>
      <c r="M10" s="5"/>
      <c r="N10" s="27"/>
      <c r="O10" s="27"/>
      <c r="P10" s="5"/>
      <c r="Q10" s="31"/>
      <c r="R10" s="31"/>
      <c r="S10" s="23"/>
      <c r="T10" s="23"/>
      <c r="U10" s="13"/>
      <c r="V10" s="19"/>
      <c r="W10" s="19"/>
      <c r="X10" s="13"/>
      <c r="Y10" s="13"/>
      <c r="Z10" s="19"/>
      <c r="AA10" s="19"/>
    </row>
    <row r="11" spans="1:27" x14ac:dyDescent="0.25">
      <c r="A11" s="11"/>
      <c r="B11" s="12"/>
      <c r="C11" s="27"/>
      <c r="D11" s="27"/>
      <c r="E11" s="27"/>
      <c r="F11" s="27"/>
      <c r="G11" s="27"/>
      <c r="H11" s="34"/>
      <c r="I11" s="34"/>
      <c r="J11" s="27"/>
      <c r="K11" s="27"/>
      <c r="L11" s="27"/>
      <c r="M11" s="5"/>
      <c r="N11" s="27"/>
      <c r="O11" s="27"/>
      <c r="P11" s="5"/>
      <c r="Q11" s="31"/>
      <c r="R11" s="31"/>
      <c r="S11" s="23"/>
      <c r="T11" s="23"/>
      <c r="U11" s="13"/>
      <c r="V11" s="19"/>
      <c r="W11" s="19"/>
      <c r="X11" s="13"/>
      <c r="Y11" s="13"/>
      <c r="Z11" s="19"/>
      <c r="AA11" s="19"/>
    </row>
    <row r="12" spans="1:27" x14ac:dyDescent="0.25">
      <c r="A12" s="11"/>
      <c r="B12" s="12"/>
      <c r="C12" s="27"/>
      <c r="D12" s="27"/>
      <c r="E12" s="27"/>
      <c r="F12" s="27"/>
      <c r="G12" s="27"/>
      <c r="H12" s="34"/>
      <c r="I12" s="34"/>
      <c r="J12" s="27"/>
      <c r="K12" s="27"/>
      <c r="L12" s="27"/>
      <c r="M12" s="5"/>
      <c r="N12" s="27"/>
      <c r="O12" s="27"/>
      <c r="P12" s="5"/>
      <c r="Q12" s="31"/>
      <c r="R12" s="31"/>
      <c r="S12" s="23"/>
      <c r="T12" s="23"/>
      <c r="U12" s="13"/>
      <c r="V12" s="19"/>
      <c r="W12" s="19"/>
      <c r="X12" s="13"/>
      <c r="Y12" s="13"/>
      <c r="Z12" s="19"/>
      <c r="AA12" s="19"/>
    </row>
    <row r="13" spans="1:27" x14ac:dyDescent="0.25">
      <c r="A13" s="11"/>
      <c r="B13" s="12"/>
      <c r="C13" s="27"/>
      <c r="D13" s="27"/>
      <c r="E13" s="27"/>
      <c r="F13" s="27"/>
      <c r="G13" s="27"/>
      <c r="H13" s="34"/>
      <c r="I13" s="34"/>
      <c r="J13" s="27"/>
      <c r="K13" s="27"/>
      <c r="L13" s="27"/>
      <c r="M13" s="5"/>
      <c r="N13" s="27"/>
      <c r="O13" s="27"/>
      <c r="P13" s="5"/>
      <c r="Q13" s="31"/>
      <c r="R13" s="31"/>
      <c r="S13" s="23"/>
      <c r="T13" s="23"/>
      <c r="U13" s="13"/>
      <c r="V13" s="19"/>
      <c r="W13" s="19"/>
      <c r="X13" s="13"/>
      <c r="Y13" s="13"/>
      <c r="Z13" s="19"/>
      <c r="AA13" s="19"/>
    </row>
    <row r="14" spans="1:27" x14ac:dyDescent="0.25">
      <c r="A14" s="11"/>
      <c r="B14" s="12"/>
      <c r="C14" s="27"/>
      <c r="D14" s="27"/>
      <c r="E14" s="27"/>
      <c r="F14" s="27"/>
      <c r="G14" s="27"/>
      <c r="H14" s="34"/>
      <c r="I14" s="34"/>
      <c r="J14" s="27"/>
      <c r="K14" s="27"/>
      <c r="L14" s="27"/>
      <c r="M14" s="5"/>
      <c r="N14" s="27"/>
      <c r="O14" s="27"/>
      <c r="P14" s="5"/>
      <c r="Q14" s="31"/>
      <c r="R14" s="31"/>
      <c r="S14" s="23"/>
      <c r="T14" s="23"/>
      <c r="U14" s="13"/>
      <c r="V14" s="19"/>
      <c r="W14" s="19"/>
      <c r="X14" s="13"/>
      <c r="Y14" s="13"/>
      <c r="Z14" s="19"/>
      <c r="AA14" s="19"/>
    </row>
    <row r="15" spans="1:27" x14ac:dyDescent="0.25">
      <c r="A15" s="11"/>
      <c r="B15" s="12"/>
      <c r="C15" s="27"/>
      <c r="D15" s="27"/>
      <c r="E15" s="27"/>
      <c r="F15" s="27"/>
      <c r="G15" s="27"/>
      <c r="H15" s="34"/>
      <c r="I15" s="34"/>
      <c r="J15" s="27"/>
      <c r="K15" s="27"/>
      <c r="L15" s="27"/>
      <c r="M15" s="5"/>
      <c r="N15" s="27"/>
      <c r="O15" s="27"/>
      <c r="P15" s="5"/>
      <c r="Q15" s="31"/>
      <c r="R15" s="31"/>
      <c r="S15" s="23"/>
      <c r="T15" s="23"/>
      <c r="U15" s="13"/>
      <c r="V15" s="19"/>
      <c r="W15" s="19"/>
      <c r="X15" s="13"/>
      <c r="Y15" s="13"/>
      <c r="Z15" s="19"/>
      <c r="AA15" s="19"/>
    </row>
    <row r="16" spans="1:27" x14ac:dyDescent="0.25">
      <c r="A16" s="11"/>
      <c r="B16" s="12"/>
      <c r="C16" s="27"/>
      <c r="D16" s="27"/>
      <c r="E16" s="27"/>
      <c r="F16" s="27"/>
      <c r="G16" s="27"/>
      <c r="H16" s="34"/>
      <c r="I16" s="34"/>
      <c r="J16" s="27"/>
      <c r="K16" s="27"/>
      <c r="L16" s="27"/>
      <c r="M16" s="5"/>
      <c r="N16" s="27"/>
      <c r="O16" s="27"/>
      <c r="P16" s="5"/>
      <c r="Q16" s="31"/>
      <c r="R16" s="31"/>
      <c r="S16" s="23"/>
      <c r="T16" s="23"/>
      <c r="U16" s="13"/>
      <c r="V16" s="19"/>
      <c r="W16" s="19"/>
      <c r="X16" s="13"/>
      <c r="Y16" s="13"/>
      <c r="Z16" s="19"/>
      <c r="AA16" s="19"/>
    </row>
    <row r="17" spans="1:27" x14ac:dyDescent="0.25">
      <c r="A17" s="11"/>
      <c r="B17" s="12"/>
      <c r="C17" s="27"/>
      <c r="D17" s="27"/>
      <c r="E17" s="27"/>
      <c r="F17" s="27"/>
      <c r="G17" s="27"/>
      <c r="H17" s="34"/>
      <c r="I17" s="34"/>
      <c r="J17" s="27"/>
      <c r="K17" s="27"/>
      <c r="L17" s="27"/>
      <c r="M17" s="5"/>
      <c r="N17" s="27"/>
      <c r="O17" s="27"/>
      <c r="P17" s="5"/>
      <c r="Q17" s="31"/>
      <c r="R17" s="31"/>
      <c r="S17" s="23"/>
      <c r="T17" s="23"/>
      <c r="U17" s="13"/>
      <c r="V17" s="19"/>
      <c r="W17" s="19"/>
      <c r="X17" s="13"/>
      <c r="Y17" s="13"/>
      <c r="Z17" s="19"/>
      <c r="AA17" s="19"/>
    </row>
    <row r="18" spans="1:27" x14ac:dyDescent="0.25">
      <c r="A18" s="11"/>
      <c r="B18" s="12"/>
      <c r="C18" s="27"/>
      <c r="D18" s="27"/>
      <c r="E18" s="27"/>
      <c r="F18" s="27"/>
      <c r="G18" s="27"/>
      <c r="H18" s="34"/>
      <c r="I18" s="34"/>
      <c r="J18" s="27"/>
      <c r="K18" s="27"/>
      <c r="L18" s="27"/>
      <c r="M18" s="5"/>
      <c r="N18" s="27"/>
      <c r="O18" s="27"/>
      <c r="P18" s="5"/>
      <c r="Q18" s="31"/>
      <c r="R18" s="31"/>
      <c r="S18" s="23"/>
      <c r="T18" s="23"/>
      <c r="U18" s="13"/>
      <c r="V18" s="19"/>
      <c r="W18" s="19"/>
      <c r="X18" s="13"/>
      <c r="Y18" s="13"/>
      <c r="Z18" s="19"/>
      <c r="AA18" s="19"/>
    </row>
    <row r="19" spans="1:27" x14ac:dyDescent="0.25">
      <c r="A19" s="11"/>
      <c r="B19" s="12"/>
      <c r="C19" s="27"/>
      <c r="D19" s="27"/>
      <c r="E19" s="27"/>
      <c r="F19" s="27"/>
      <c r="G19" s="27"/>
      <c r="H19" s="34"/>
      <c r="I19" s="34"/>
      <c r="J19" s="27"/>
      <c r="K19" s="27"/>
      <c r="L19" s="27"/>
      <c r="M19" s="5"/>
      <c r="N19" s="27"/>
      <c r="O19" s="27"/>
      <c r="P19" s="5"/>
      <c r="Q19" s="31"/>
      <c r="R19" s="31"/>
      <c r="S19" s="23"/>
      <c r="T19" s="23"/>
      <c r="U19" s="13"/>
      <c r="V19" s="19"/>
      <c r="W19" s="19"/>
      <c r="X19" s="13"/>
      <c r="Y19" s="13"/>
      <c r="Z19" s="19"/>
      <c r="AA19" s="19"/>
    </row>
    <row r="20" spans="1:27" x14ac:dyDescent="0.25">
      <c r="A20" s="11"/>
      <c r="B20" s="12"/>
      <c r="C20" s="27"/>
      <c r="D20" s="27"/>
      <c r="E20" s="27"/>
      <c r="F20" s="27"/>
      <c r="G20" s="27"/>
      <c r="H20" s="34"/>
      <c r="I20" s="34"/>
      <c r="J20" s="27"/>
      <c r="K20" s="27"/>
      <c r="L20" s="27"/>
      <c r="M20" s="5"/>
      <c r="N20" s="27"/>
      <c r="O20" s="27"/>
      <c r="P20" s="5"/>
      <c r="Q20" s="31"/>
      <c r="R20" s="31"/>
      <c r="S20" s="23"/>
      <c r="T20" s="23"/>
      <c r="U20" s="13"/>
      <c r="V20" s="19"/>
      <c r="W20" s="19"/>
      <c r="X20" s="13"/>
      <c r="Y20" s="13"/>
      <c r="Z20" s="19"/>
      <c r="AA20" s="19"/>
    </row>
    <row r="21" spans="1:27" x14ac:dyDescent="0.25">
      <c r="A21" s="11"/>
      <c r="B21" s="12"/>
      <c r="C21" s="27"/>
      <c r="D21" s="27"/>
      <c r="E21" s="27"/>
      <c r="F21" s="27"/>
      <c r="G21" s="27"/>
      <c r="H21" s="34"/>
      <c r="I21" s="34"/>
      <c r="J21" s="27"/>
      <c r="K21" s="27"/>
      <c r="L21" s="27"/>
      <c r="M21" s="5"/>
      <c r="N21" s="27"/>
      <c r="O21" s="27"/>
      <c r="P21" s="5"/>
      <c r="Q21" s="31"/>
      <c r="R21" s="31"/>
      <c r="S21" s="23"/>
      <c r="T21" s="23"/>
      <c r="U21" s="13"/>
      <c r="V21" s="19"/>
      <c r="W21" s="19"/>
      <c r="X21" s="13"/>
      <c r="Y21" s="13"/>
      <c r="Z21" s="19"/>
      <c r="AA21" s="19"/>
    </row>
    <row r="22" spans="1:27" x14ac:dyDescent="0.25">
      <c r="A22" s="11"/>
      <c r="B22" s="12"/>
      <c r="C22" s="27"/>
      <c r="D22" s="27"/>
      <c r="E22" s="27"/>
      <c r="F22" s="27"/>
      <c r="G22" s="27"/>
      <c r="H22" s="34"/>
      <c r="I22" s="34"/>
      <c r="J22" s="27"/>
      <c r="K22" s="27"/>
      <c r="L22" s="27"/>
      <c r="M22" s="5"/>
      <c r="N22" s="27"/>
      <c r="O22" s="27"/>
      <c r="P22" s="5"/>
      <c r="Q22" s="31"/>
      <c r="R22" s="31"/>
      <c r="S22" s="23"/>
      <c r="T22" s="23"/>
      <c r="U22" s="13"/>
      <c r="V22" s="19"/>
      <c r="W22" s="19"/>
      <c r="X22" s="13"/>
      <c r="Y22" s="13"/>
      <c r="Z22" s="19"/>
      <c r="AA22" s="19"/>
    </row>
    <row r="23" spans="1:27" x14ac:dyDescent="0.25">
      <c r="A23" s="11"/>
      <c r="B23" s="12"/>
      <c r="C23" s="27"/>
      <c r="D23" s="27"/>
      <c r="E23" s="27"/>
      <c r="F23" s="27"/>
      <c r="G23" s="27"/>
      <c r="H23" s="34"/>
      <c r="I23" s="34"/>
      <c r="J23" s="27"/>
      <c r="K23" s="27"/>
      <c r="L23" s="27"/>
      <c r="M23" s="5"/>
      <c r="N23" s="27"/>
      <c r="O23" s="27"/>
      <c r="P23" s="5"/>
      <c r="Q23" s="31"/>
      <c r="R23" s="31"/>
      <c r="S23" s="23"/>
      <c r="T23" s="23"/>
      <c r="U23" s="13"/>
      <c r="V23" s="19"/>
      <c r="W23" s="19"/>
      <c r="X23" s="13"/>
      <c r="Y23" s="13"/>
      <c r="Z23" s="19"/>
      <c r="AA23" s="19"/>
    </row>
    <row r="24" spans="1:27" x14ac:dyDescent="0.25">
      <c r="A24" s="11"/>
      <c r="B24" s="12"/>
      <c r="C24" s="27"/>
      <c r="D24" s="27"/>
      <c r="E24" s="27"/>
      <c r="F24" s="27"/>
      <c r="G24" s="27"/>
      <c r="H24" s="34"/>
      <c r="I24" s="34"/>
      <c r="J24" s="27"/>
      <c r="K24" s="27"/>
      <c r="L24" s="27"/>
      <c r="M24" s="5"/>
      <c r="N24" s="27"/>
      <c r="O24" s="27"/>
      <c r="P24" s="5"/>
      <c r="Q24" s="31"/>
      <c r="R24" s="31"/>
      <c r="S24" s="23"/>
      <c r="T24" s="23"/>
      <c r="U24" s="13"/>
      <c r="V24" s="19"/>
      <c r="W24" s="19"/>
      <c r="X24" s="13"/>
      <c r="Y24" s="13"/>
      <c r="Z24" s="19"/>
      <c r="AA24" s="19"/>
    </row>
    <row r="25" spans="1:27" x14ac:dyDescent="0.25">
      <c r="A25" s="11"/>
      <c r="B25" s="12"/>
      <c r="C25" s="27"/>
      <c r="D25" s="27"/>
      <c r="E25" s="27"/>
      <c r="F25" s="27"/>
      <c r="G25" s="27"/>
      <c r="H25" s="34"/>
      <c r="I25" s="34"/>
      <c r="J25" s="27"/>
      <c r="K25" s="27"/>
      <c r="L25" s="27"/>
      <c r="M25" s="5"/>
      <c r="N25" s="27"/>
      <c r="O25" s="27"/>
      <c r="P25" s="5"/>
      <c r="Q25" s="31"/>
      <c r="R25" s="31"/>
      <c r="S25" s="23"/>
      <c r="T25" s="23"/>
      <c r="U25" s="13"/>
      <c r="V25" s="19"/>
      <c r="W25" s="19"/>
      <c r="X25" s="13"/>
      <c r="Y25" s="13"/>
      <c r="Z25" s="19"/>
      <c r="AA25" s="19"/>
    </row>
    <row r="26" spans="1:27" x14ac:dyDescent="0.25">
      <c r="A26" s="11"/>
      <c r="B26" s="12"/>
      <c r="C26" s="27"/>
      <c r="D26" s="27"/>
      <c r="E26" s="27"/>
      <c r="F26" s="27"/>
      <c r="G26" s="27"/>
      <c r="H26" s="34"/>
      <c r="I26" s="34"/>
      <c r="J26" s="27"/>
      <c r="K26" s="27"/>
      <c r="L26" s="27"/>
      <c r="M26" s="5"/>
      <c r="N26" s="27"/>
      <c r="O26" s="27"/>
      <c r="P26" s="5"/>
      <c r="Q26" s="31"/>
      <c r="R26" s="31"/>
      <c r="S26" s="23"/>
      <c r="T26" s="23"/>
      <c r="U26" s="13"/>
      <c r="V26" s="19"/>
      <c r="W26" s="19"/>
      <c r="X26" s="13"/>
      <c r="Y26" s="13"/>
      <c r="Z26" s="19"/>
      <c r="AA26" s="19"/>
    </row>
    <row r="27" spans="1:27" x14ac:dyDescent="0.25">
      <c r="A27" s="11"/>
      <c r="B27" s="12"/>
      <c r="C27" s="27"/>
      <c r="D27" s="27"/>
      <c r="E27" s="27"/>
      <c r="F27" s="27"/>
      <c r="G27" s="27"/>
      <c r="H27" s="34"/>
      <c r="I27" s="34"/>
      <c r="J27" s="27"/>
      <c r="K27" s="27"/>
      <c r="L27" s="27"/>
      <c r="M27" s="5"/>
      <c r="N27" s="27"/>
      <c r="O27" s="27"/>
      <c r="P27" s="5"/>
      <c r="Q27" s="31"/>
      <c r="R27" s="31"/>
      <c r="S27" s="23"/>
      <c r="T27" s="23"/>
      <c r="U27" s="13"/>
      <c r="V27" s="19"/>
      <c r="W27" s="19"/>
      <c r="X27" s="13"/>
      <c r="Y27" s="13"/>
      <c r="Z27" s="19"/>
      <c r="AA27" s="19"/>
    </row>
    <row r="28" spans="1:27" x14ac:dyDescent="0.25">
      <c r="A28" s="11"/>
      <c r="B28" s="12"/>
      <c r="C28" s="27"/>
      <c r="D28" s="27"/>
      <c r="E28" s="27"/>
      <c r="F28" s="27"/>
      <c r="G28" s="27"/>
      <c r="H28" s="34"/>
      <c r="I28" s="34"/>
      <c r="J28" s="27"/>
      <c r="K28" s="27"/>
      <c r="L28" s="27"/>
      <c r="M28" s="5"/>
      <c r="N28" s="27"/>
      <c r="O28" s="27"/>
      <c r="P28" s="5"/>
      <c r="Q28" s="31"/>
      <c r="R28" s="31"/>
      <c r="S28" s="23"/>
      <c r="T28" s="23"/>
      <c r="U28" s="13"/>
      <c r="V28" s="19"/>
      <c r="W28" s="19"/>
      <c r="X28" s="13"/>
      <c r="Y28" s="13"/>
      <c r="Z28" s="19"/>
      <c r="AA28" s="19"/>
    </row>
    <row r="29" spans="1:27" x14ac:dyDescent="0.25">
      <c r="A29" s="11"/>
      <c r="B29" s="12"/>
      <c r="C29" s="27"/>
      <c r="D29" s="27"/>
      <c r="E29" s="27"/>
      <c r="F29" s="27"/>
      <c r="G29" s="27"/>
      <c r="H29" s="34"/>
      <c r="I29" s="34"/>
      <c r="J29" s="27"/>
      <c r="K29" s="27"/>
      <c r="L29" s="27"/>
      <c r="M29" s="5"/>
      <c r="N29" s="27"/>
      <c r="O29" s="27"/>
      <c r="P29" s="5"/>
      <c r="Q29" s="31"/>
      <c r="R29" s="31"/>
      <c r="S29" s="23"/>
      <c r="T29" s="23"/>
      <c r="U29" s="13"/>
      <c r="V29" s="19"/>
      <c r="W29" s="19"/>
      <c r="X29" s="13"/>
      <c r="Y29" s="13"/>
      <c r="Z29" s="19"/>
      <c r="AA29" s="19"/>
    </row>
    <row r="30" spans="1:27" x14ac:dyDescent="0.25">
      <c r="A30" s="11"/>
      <c r="B30" s="12"/>
      <c r="C30" s="27"/>
      <c r="D30" s="27"/>
      <c r="E30" s="27"/>
      <c r="F30" s="27"/>
      <c r="G30" s="27"/>
      <c r="H30" s="34"/>
      <c r="I30" s="34"/>
      <c r="J30" s="27"/>
      <c r="K30" s="27"/>
      <c r="L30" s="27"/>
      <c r="M30" s="5"/>
      <c r="N30" s="27"/>
      <c r="O30" s="27"/>
      <c r="P30" s="5"/>
      <c r="Q30" s="31"/>
      <c r="R30" s="31"/>
      <c r="S30" s="23"/>
      <c r="T30" s="23"/>
      <c r="U30" s="13"/>
      <c r="V30" s="19"/>
      <c r="W30" s="19"/>
      <c r="X30" s="13"/>
      <c r="Y30" s="13"/>
      <c r="Z30" s="19"/>
      <c r="AA30" s="19"/>
    </row>
    <row r="31" spans="1:27" x14ac:dyDescent="0.25">
      <c r="A31" s="11"/>
      <c r="B31" s="12"/>
      <c r="C31" s="27"/>
      <c r="D31" s="27"/>
      <c r="E31" s="27"/>
      <c r="F31" s="27"/>
      <c r="G31" s="27"/>
      <c r="H31" s="34"/>
      <c r="I31" s="34"/>
      <c r="J31" s="27"/>
      <c r="K31" s="27"/>
      <c r="L31" s="27"/>
      <c r="M31" s="5"/>
      <c r="N31" s="27"/>
      <c r="O31" s="27"/>
      <c r="P31" s="5"/>
      <c r="Q31" s="31"/>
      <c r="R31" s="31"/>
      <c r="S31" s="23"/>
      <c r="T31" s="23"/>
      <c r="U31" s="13"/>
      <c r="V31" s="19"/>
      <c r="W31" s="19"/>
      <c r="X31" s="13"/>
      <c r="Y31" s="13"/>
      <c r="Z31" s="19"/>
      <c r="AA31" s="19"/>
    </row>
    <row r="32" spans="1:27" x14ac:dyDescent="0.25">
      <c r="A32" s="11"/>
      <c r="B32" s="12"/>
      <c r="C32" s="27"/>
      <c r="D32" s="27"/>
      <c r="E32" s="27"/>
      <c r="F32" s="27"/>
      <c r="G32" s="27"/>
      <c r="H32" s="34"/>
      <c r="I32" s="34"/>
      <c r="J32" s="27"/>
      <c r="K32" s="27"/>
      <c r="L32" s="27"/>
      <c r="M32" s="5"/>
      <c r="N32" s="27"/>
      <c r="O32" s="27"/>
      <c r="P32" s="5"/>
      <c r="Q32" s="31"/>
      <c r="R32" s="31"/>
      <c r="S32" s="23"/>
      <c r="T32" s="23"/>
      <c r="U32" s="13"/>
      <c r="V32" s="19"/>
      <c r="W32" s="19"/>
      <c r="X32" s="13"/>
      <c r="Y32" s="13"/>
      <c r="Z32" s="19"/>
      <c r="AA32" s="19"/>
    </row>
    <row r="33" spans="1:27" x14ac:dyDescent="0.25">
      <c r="A33" s="11"/>
      <c r="B33" s="12"/>
      <c r="C33" s="27"/>
      <c r="D33" s="27"/>
      <c r="E33" s="27"/>
      <c r="F33" s="27"/>
      <c r="G33" s="27"/>
      <c r="H33" s="34"/>
      <c r="I33" s="34"/>
      <c r="J33" s="27"/>
      <c r="K33" s="27"/>
      <c r="L33" s="27"/>
      <c r="M33" s="5"/>
      <c r="N33" s="27"/>
      <c r="O33" s="27"/>
      <c r="P33" s="5"/>
      <c r="Q33" s="31"/>
      <c r="R33" s="31"/>
      <c r="S33" s="23"/>
      <c r="T33" s="23"/>
      <c r="U33" s="13"/>
      <c r="V33" s="19"/>
      <c r="W33" s="19"/>
      <c r="X33" s="13"/>
      <c r="Y33" s="13"/>
      <c r="Z33" s="19"/>
      <c r="AA33" s="19"/>
    </row>
    <row r="34" spans="1:27" x14ac:dyDescent="0.25">
      <c r="A34" s="11"/>
      <c r="B34" s="12"/>
      <c r="C34" s="27"/>
      <c r="D34" s="27"/>
      <c r="E34" s="27"/>
      <c r="F34" s="27"/>
      <c r="G34" s="27"/>
      <c r="H34" s="34"/>
      <c r="I34" s="34"/>
      <c r="J34" s="27"/>
      <c r="K34" s="27"/>
      <c r="L34" s="27"/>
      <c r="M34" s="5"/>
      <c r="N34" s="27"/>
      <c r="O34" s="27"/>
      <c r="P34" s="5"/>
      <c r="Q34" s="31"/>
      <c r="R34" s="31"/>
      <c r="S34" s="23"/>
      <c r="T34" s="23"/>
      <c r="U34" s="13"/>
      <c r="V34" s="19"/>
      <c r="W34" s="19"/>
      <c r="X34" s="13"/>
      <c r="Y34" s="13"/>
      <c r="Z34" s="19"/>
      <c r="AA34" s="19"/>
    </row>
    <row r="35" spans="1:27" x14ac:dyDescent="0.25">
      <c r="A35" s="11"/>
      <c r="B35" s="12"/>
      <c r="C35" s="27"/>
      <c r="D35" s="27"/>
      <c r="E35" s="27"/>
      <c r="F35" s="27"/>
      <c r="G35" s="27"/>
      <c r="H35" s="34"/>
      <c r="I35" s="34"/>
      <c r="J35" s="27"/>
      <c r="K35" s="27"/>
      <c r="L35" s="27"/>
      <c r="M35" s="5"/>
      <c r="N35" s="27"/>
      <c r="O35" s="27"/>
      <c r="P35" s="5"/>
      <c r="Q35" s="31"/>
      <c r="R35" s="31"/>
      <c r="S35" s="23"/>
      <c r="T35" s="23"/>
      <c r="U35" s="13"/>
      <c r="V35" s="19"/>
      <c r="W35" s="19"/>
      <c r="X35" s="13"/>
      <c r="Y35" s="13"/>
      <c r="Z35" s="19"/>
      <c r="AA35" s="19"/>
    </row>
    <row r="36" spans="1:27" x14ac:dyDescent="0.25">
      <c r="A36" s="11"/>
      <c r="B36" s="12"/>
      <c r="C36" s="27"/>
      <c r="D36" s="27"/>
      <c r="E36" s="27"/>
      <c r="F36" s="27"/>
      <c r="G36" s="27"/>
      <c r="H36" s="34"/>
      <c r="I36" s="34"/>
      <c r="J36" s="27"/>
      <c r="K36" s="27"/>
      <c r="L36" s="27"/>
      <c r="M36" s="5"/>
      <c r="N36" s="27"/>
      <c r="O36" s="27"/>
      <c r="P36" s="5"/>
      <c r="Q36" s="31"/>
      <c r="R36" s="31"/>
      <c r="S36" s="23"/>
      <c r="T36" s="23"/>
      <c r="U36" s="13"/>
      <c r="V36" s="19"/>
      <c r="W36" s="19"/>
      <c r="X36" s="13"/>
      <c r="Y36" s="13"/>
      <c r="Z36" s="19"/>
      <c r="AA36" s="19"/>
    </row>
    <row r="37" spans="1:27" x14ac:dyDescent="0.25">
      <c r="A37" s="11"/>
      <c r="B37" s="12"/>
      <c r="C37" s="27"/>
      <c r="D37" s="27"/>
      <c r="E37" s="27"/>
      <c r="F37" s="27"/>
      <c r="G37" s="27"/>
      <c r="H37" s="34"/>
      <c r="I37" s="34"/>
      <c r="J37" s="27"/>
      <c r="K37" s="27"/>
      <c r="L37" s="27"/>
      <c r="M37" s="5"/>
      <c r="N37" s="27"/>
      <c r="O37" s="27"/>
      <c r="P37" s="5"/>
      <c r="Q37" s="31"/>
      <c r="R37" s="31"/>
      <c r="S37" s="23"/>
      <c r="T37" s="23"/>
      <c r="U37" s="13"/>
      <c r="V37" s="19"/>
      <c r="W37" s="19"/>
      <c r="X37" s="13"/>
      <c r="Y37" s="13"/>
      <c r="Z37" s="19"/>
      <c r="AA37" s="19"/>
    </row>
    <row r="38" spans="1:27" x14ac:dyDescent="0.25">
      <c r="A38" s="11"/>
      <c r="B38" s="12"/>
      <c r="C38" s="27"/>
      <c r="D38" s="27"/>
      <c r="E38" s="27"/>
      <c r="F38" s="27"/>
      <c r="G38" s="27"/>
      <c r="H38" s="34"/>
      <c r="I38" s="34"/>
      <c r="J38" s="27"/>
      <c r="K38" s="27"/>
      <c r="L38" s="27"/>
      <c r="M38" s="5"/>
      <c r="N38" s="27"/>
      <c r="O38" s="27"/>
      <c r="P38" s="5"/>
      <c r="Q38" s="31"/>
      <c r="R38" s="31"/>
      <c r="S38" s="23"/>
      <c r="T38" s="23"/>
      <c r="U38" s="13"/>
      <c r="V38" s="19"/>
      <c r="W38" s="19"/>
      <c r="X38" s="13"/>
      <c r="Y38" s="13"/>
      <c r="Z38" s="19"/>
      <c r="AA38" s="19"/>
    </row>
    <row r="39" spans="1:27" x14ac:dyDescent="0.25">
      <c r="A39" s="11"/>
      <c r="B39" s="12"/>
      <c r="C39" s="27"/>
      <c r="D39" s="27"/>
      <c r="E39" s="27"/>
      <c r="F39" s="27"/>
      <c r="G39" s="27"/>
      <c r="H39" s="34"/>
      <c r="I39" s="34"/>
      <c r="J39" s="27"/>
      <c r="K39" s="27"/>
      <c r="L39" s="27"/>
      <c r="M39" s="5"/>
      <c r="N39" s="27"/>
      <c r="O39" s="27"/>
      <c r="P39" s="5"/>
      <c r="Q39" s="31"/>
      <c r="R39" s="31"/>
      <c r="S39" s="23"/>
      <c r="T39" s="23"/>
      <c r="U39" s="13"/>
      <c r="V39" s="19"/>
      <c r="W39" s="19"/>
      <c r="X39" s="13"/>
      <c r="Y39" s="13"/>
      <c r="Z39" s="19"/>
      <c r="AA39" s="19"/>
    </row>
    <row r="40" spans="1:27" x14ac:dyDescent="0.25">
      <c r="A40" s="11"/>
      <c r="B40" s="12"/>
      <c r="C40" s="27"/>
      <c r="D40" s="27"/>
      <c r="E40" s="27"/>
      <c r="F40" s="27"/>
      <c r="G40" s="27"/>
      <c r="H40" s="34"/>
      <c r="I40" s="34"/>
      <c r="J40" s="27"/>
      <c r="K40" s="27"/>
      <c r="L40" s="27"/>
      <c r="M40" s="5"/>
      <c r="N40" s="27"/>
      <c r="O40" s="27"/>
      <c r="P40" s="5"/>
      <c r="Q40" s="31"/>
      <c r="R40" s="31"/>
      <c r="S40" s="23"/>
      <c r="T40" s="23"/>
      <c r="U40" s="13"/>
      <c r="V40" s="19"/>
      <c r="W40" s="19"/>
      <c r="X40" s="13"/>
      <c r="Y40" s="13"/>
      <c r="Z40" s="19"/>
      <c r="AA40" s="19"/>
    </row>
    <row r="41" spans="1:27" x14ac:dyDescent="0.25">
      <c r="A41" s="11"/>
      <c r="B41" s="12"/>
      <c r="C41" s="27"/>
      <c r="D41" s="27"/>
      <c r="E41" s="27"/>
      <c r="F41" s="27"/>
      <c r="G41" s="27"/>
      <c r="H41" s="34"/>
      <c r="I41" s="34"/>
      <c r="J41" s="27"/>
      <c r="K41" s="27"/>
      <c r="L41" s="27"/>
      <c r="M41" s="5"/>
      <c r="N41" s="27"/>
      <c r="O41" s="27"/>
      <c r="P41" s="5"/>
      <c r="Q41" s="31"/>
      <c r="R41" s="31"/>
      <c r="S41" s="23"/>
      <c r="T41" s="23"/>
      <c r="U41" s="13"/>
      <c r="V41" s="19"/>
      <c r="W41" s="19"/>
      <c r="X41" s="13"/>
      <c r="Y41" s="13"/>
      <c r="Z41" s="19"/>
      <c r="AA41" s="19"/>
    </row>
    <row r="42" spans="1:27" x14ac:dyDescent="0.25">
      <c r="A42" s="11"/>
      <c r="B42" s="12"/>
      <c r="C42" s="27"/>
      <c r="D42" s="27"/>
      <c r="E42" s="27"/>
      <c r="F42" s="27"/>
      <c r="G42" s="27"/>
      <c r="H42" s="34"/>
      <c r="I42" s="34"/>
      <c r="J42" s="27"/>
      <c r="K42" s="27"/>
      <c r="L42" s="27"/>
      <c r="M42" s="5"/>
      <c r="N42" s="27"/>
      <c r="O42" s="27"/>
      <c r="P42" s="5"/>
      <c r="Q42" s="31"/>
      <c r="R42" s="31"/>
      <c r="S42" s="23"/>
      <c r="T42" s="23"/>
      <c r="U42" s="13"/>
      <c r="V42" s="19"/>
      <c r="W42" s="19"/>
      <c r="X42" s="13"/>
      <c r="Y42" s="13"/>
      <c r="Z42" s="19"/>
      <c r="AA42" s="19"/>
    </row>
    <row r="43" spans="1:27" x14ac:dyDescent="0.25">
      <c r="A43" s="11"/>
      <c r="B43" s="12"/>
      <c r="C43" s="27"/>
      <c r="D43" s="27"/>
      <c r="E43" s="27"/>
      <c r="F43" s="27"/>
      <c r="G43" s="27"/>
      <c r="H43" s="34"/>
      <c r="I43" s="34"/>
      <c r="J43" s="27"/>
      <c r="K43" s="27"/>
      <c r="L43" s="27"/>
      <c r="M43" s="5"/>
      <c r="N43" s="27"/>
      <c r="O43" s="27"/>
      <c r="P43" s="5"/>
      <c r="Q43" s="31"/>
      <c r="R43" s="31"/>
      <c r="S43" s="23"/>
      <c r="T43" s="23"/>
      <c r="U43" s="13"/>
      <c r="V43" s="19"/>
      <c r="W43" s="19"/>
      <c r="X43" s="13"/>
      <c r="Y43" s="13"/>
      <c r="Z43" s="19"/>
      <c r="AA43" s="19"/>
    </row>
    <row r="44" spans="1:27" x14ac:dyDescent="0.25">
      <c r="A44" s="11"/>
      <c r="B44" s="12"/>
      <c r="C44" s="27"/>
      <c r="D44" s="27"/>
      <c r="E44" s="27"/>
      <c r="F44" s="27"/>
      <c r="G44" s="27"/>
      <c r="H44" s="34"/>
      <c r="I44" s="34"/>
      <c r="J44" s="27"/>
      <c r="K44" s="27"/>
      <c r="L44" s="27"/>
      <c r="M44" s="5"/>
      <c r="N44" s="27"/>
      <c r="O44" s="27"/>
      <c r="P44" s="5"/>
      <c r="Q44" s="31"/>
      <c r="R44" s="31"/>
      <c r="S44" s="23"/>
      <c r="T44" s="23"/>
      <c r="U44" s="13"/>
      <c r="V44" s="19"/>
      <c r="W44" s="19"/>
      <c r="X44" s="13"/>
      <c r="Y44" s="13"/>
      <c r="Z44" s="19"/>
      <c r="AA44" s="19"/>
    </row>
    <row r="45" spans="1:27" x14ac:dyDescent="0.25">
      <c r="A45" s="11"/>
      <c r="B45" s="12"/>
      <c r="C45" s="27"/>
      <c r="D45" s="27"/>
      <c r="E45" s="27"/>
      <c r="F45" s="27"/>
      <c r="G45" s="27"/>
      <c r="H45" s="34"/>
      <c r="I45" s="34"/>
      <c r="J45" s="27"/>
      <c r="K45" s="27"/>
      <c r="L45" s="27"/>
      <c r="M45" s="5"/>
      <c r="N45" s="27"/>
      <c r="O45" s="27"/>
      <c r="P45" s="5"/>
      <c r="Q45" s="31"/>
      <c r="R45" s="31"/>
      <c r="S45" s="23"/>
      <c r="T45" s="23"/>
      <c r="U45" s="13"/>
      <c r="V45" s="19"/>
      <c r="W45" s="19"/>
      <c r="X45" s="13"/>
      <c r="Y45" s="13"/>
      <c r="Z45" s="19"/>
      <c r="AA45" s="19"/>
    </row>
    <row r="46" spans="1:27" x14ac:dyDescent="0.25">
      <c r="A46" s="11"/>
      <c r="B46" s="12"/>
      <c r="C46" s="27"/>
      <c r="D46" s="27"/>
      <c r="E46" s="27"/>
      <c r="F46" s="27"/>
      <c r="G46" s="27"/>
      <c r="H46" s="34"/>
      <c r="I46" s="34"/>
      <c r="J46" s="27"/>
      <c r="K46" s="27"/>
      <c r="L46" s="27"/>
      <c r="M46" s="5"/>
      <c r="N46" s="27"/>
      <c r="O46" s="27"/>
      <c r="P46" s="5"/>
      <c r="Q46" s="31"/>
      <c r="R46" s="31"/>
      <c r="S46" s="23"/>
      <c r="T46" s="23"/>
      <c r="U46" s="13"/>
      <c r="V46" s="19"/>
      <c r="W46" s="19"/>
      <c r="X46" s="13"/>
      <c r="Y46" s="13"/>
      <c r="Z46" s="19"/>
      <c r="AA46" s="19"/>
    </row>
    <row r="47" spans="1:27" x14ac:dyDescent="0.25">
      <c r="A47" s="11"/>
      <c r="B47" s="12"/>
      <c r="C47" s="27"/>
      <c r="D47" s="27"/>
      <c r="E47" s="27"/>
      <c r="F47" s="27"/>
      <c r="G47" s="27"/>
      <c r="H47" s="34"/>
      <c r="I47" s="34"/>
      <c r="J47" s="27"/>
      <c r="K47" s="27"/>
      <c r="L47" s="27"/>
      <c r="M47" s="5"/>
      <c r="N47" s="27"/>
      <c r="O47" s="27"/>
      <c r="P47" s="5"/>
      <c r="Q47" s="31"/>
      <c r="R47" s="31"/>
      <c r="S47" s="23"/>
      <c r="T47" s="23"/>
      <c r="U47" s="13"/>
      <c r="V47" s="19"/>
      <c r="W47" s="19"/>
      <c r="X47" s="13"/>
      <c r="Y47" s="13"/>
      <c r="Z47" s="19"/>
      <c r="AA47" s="19"/>
    </row>
    <row r="48" spans="1:27" x14ac:dyDescent="0.25">
      <c r="A48" s="11"/>
      <c r="B48" s="12"/>
      <c r="C48" s="27"/>
      <c r="D48" s="27"/>
      <c r="E48" s="27"/>
      <c r="F48" s="27"/>
      <c r="G48" s="27"/>
      <c r="H48" s="34"/>
      <c r="I48" s="34"/>
      <c r="J48" s="27"/>
      <c r="K48" s="27"/>
      <c r="L48" s="27"/>
      <c r="M48" s="5"/>
      <c r="N48" s="27"/>
      <c r="O48" s="27"/>
      <c r="P48" s="5"/>
      <c r="Q48" s="31"/>
      <c r="R48" s="31"/>
      <c r="S48" s="23"/>
      <c r="T48" s="23"/>
      <c r="U48" s="13"/>
      <c r="V48" s="19"/>
      <c r="W48" s="19"/>
      <c r="X48" s="13"/>
      <c r="Y48" s="13"/>
      <c r="Z48" s="19"/>
      <c r="AA48" s="19"/>
    </row>
    <row r="49" spans="1:27" x14ac:dyDescent="0.25">
      <c r="A49" s="11"/>
      <c r="B49" s="12"/>
      <c r="C49" s="27"/>
      <c r="D49" s="27"/>
      <c r="E49" s="27"/>
      <c r="F49" s="27"/>
      <c r="G49" s="27"/>
      <c r="H49" s="34"/>
      <c r="I49" s="34"/>
      <c r="J49" s="27"/>
      <c r="K49" s="27"/>
      <c r="L49" s="27"/>
      <c r="M49" s="5"/>
      <c r="N49" s="27"/>
      <c r="O49" s="27"/>
      <c r="P49" s="5"/>
      <c r="Q49" s="31"/>
      <c r="R49" s="31"/>
      <c r="S49" s="23"/>
      <c r="T49" s="23"/>
      <c r="U49" s="13"/>
      <c r="V49" s="19"/>
      <c r="W49" s="19"/>
      <c r="X49" s="13"/>
      <c r="Y49" s="13"/>
      <c r="Z49" s="19"/>
      <c r="AA49" s="19"/>
    </row>
    <row r="50" spans="1:27" x14ac:dyDescent="0.25">
      <c r="A50" s="11"/>
      <c r="B50" s="12"/>
      <c r="C50" s="27"/>
      <c r="D50" s="27"/>
      <c r="E50" s="27"/>
      <c r="F50" s="27"/>
      <c r="G50" s="27"/>
      <c r="H50" s="34"/>
      <c r="I50" s="34"/>
      <c r="J50" s="27"/>
      <c r="K50" s="27"/>
      <c r="L50" s="27"/>
      <c r="M50" s="5"/>
      <c r="N50" s="27"/>
      <c r="O50" s="27"/>
      <c r="P50" s="5"/>
      <c r="Q50" s="31"/>
      <c r="R50" s="31"/>
      <c r="S50" s="23"/>
      <c r="T50" s="23"/>
      <c r="U50" s="13"/>
      <c r="V50" s="19"/>
      <c r="W50" s="19"/>
      <c r="X50" s="13"/>
      <c r="Y50" s="13"/>
      <c r="Z50" s="19"/>
      <c r="AA50" s="19"/>
    </row>
    <row r="51" spans="1:27" x14ac:dyDescent="0.25">
      <c r="A51" s="11"/>
      <c r="B51" s="12"/>
      <c r="C51" s="27"/>
      <c r="D51" s="27"/>
      <c r="E51" s="27"/>
      <c r="F51" s="27"/>
      <c r="G51" s="27"/>
      <c r="H51" s="34"/>
      <c r="I51" s="34"/>
      <c r="J51" s="27"/>
      <c r="K51" s="27"/>
      <c r="L51" s="27"/>
      <c r="M51" s="5"/>
      <c r="N51" s="27"/>
      <c r="O51" s="27"/>
      <c r="P51" s="5"/>
      <c r="Q51" s="31"/>
      <c r="R51" s="31"/>
      <c r="S51" s="23"/>
      <c r="T51" s="23"/>
      <c r="U51" s="13"/>
      <c r="V51" s="19"/>
      <c r="W51" s="19"/>
      <c r="X51" s="13"/>
      <c r="Y51" s="13"/>
      <c r="Z51" s="19"/>
      <c r="AA51" s="19"/>
    </row>
    <row r="52" spans="1:27" x14ac:dyDescent="0.25">
      <c r="A52" s="11"/>
      <c r="B52" s="12"/>
      <c r="C52" s="27"/>
      <c r="D52" s="27"/>
      <c r="E52" s="27"/>
      <c r="F52" s="27"/>
      <c r="G52" s="27"/>
      <c r="H52" s="34"/>
      <c r="I52" s="34"/>
      <c r="J52" s="27"/>
      <c r="K52" s="27"/>
      <c r="L52" s="27"/>
      <c r="M52" s="5"/>
      <c r="N52" s="27"/>
      <c r="O52" s="27"/>
      <c r="P52" s="5"/>
      <c r="Q52" s="31"/>
      <c r="R52" s="31"/>
      <c r="S52" s="23"/>
      <c r="T52" s="23"/>
      <c r="U52" s="13"/>
      <c r="V52" s="19"/>
      <c r="W52" s="19"/>
      <c r="X52" s="13"/>
      <c r="Y52" s="13"/>
      <c r="Z52" s="19"/>
      <c r="AA52" s="19"/>
    </row>
    <row r="53" spans="1:27" x14ac:dyDescent="0.25">
      <c r="A53" s="11"/>
      <c r="B53" s="12"/>
      <c r="C53" s="27"/>
      <c r="D53" s="27"/>
      <c r="E53" s="27"/>
      <c r="F53" s="27"/>
      <c r="G53" s="27"/>
      <c r="H53" s="34"/>
      <c r="I53" s="34"/>
      <c r="J53" s="27"/>
      <c r="K53" s="27"/>
      <c r="L53" s="27"/>
      <c r="M53" s="5"/>
      <c r="N53" s="27"/>
      <c r="O53" s="27"/>
      <c r="P53" s="5"/>
      <c r="Q53" s="31"/>
      <c r="R53" s="31"/>
      <c r="S53" s="23"/>
      <c r="T53" s="23"/>
      <c r="U53" s="13"/>
      <c r="V53" s="19"/>
      <c r="W53" s="19"/>
      <c r="X53" s="13"/>
      <c r="Y53" s="13"/>
      <c r="Z53" s="19"/>
      <c r="AA53" s="19"/>
    </row>
    <row r="54" spans="1:27" x14ac:dyDescent="0.25">
      <c r="A54" s="11"/>
      <c r="B54" s="12"/>
      <c r="C54" s="27"/>
      <c r="D54" s="27"/>
      <c r="E54" s="27"/>
      <c r="F54" s="27"/>
      <c r="G54" s="27"/>
      <c r="H54" s="34"/>
      <c r="I54" s="34"/>
      <c r="J54" s="27"/>
      <c r="K54" s="27"/>
      <c r="L54" s="27"/>
      <c r="M54" s="5"/>
      <c r="N54" s="27"/>
      <c r="O54" s="27"/>
      <c r="P54" s="5"/>
      <c r="Q54" s="31"/>
      <c r="R54" s="31"/>
      <c r="S54" s="23"/>
      <c r="T54" s="23"/>
      <c r="U54" s="13"/>
      <c r="V54" s="19"/>
      <c r="W54" s="19"/>
      <c r="X54" s="13"/>
      <c r="Y54" s="13"/>
      <c r="Z54" s="19"/>
      <c r="AA54" s="19"/>
    </row>
    <row r="55" spans="1:27" x14ac:dyDescent="0.25">
      <c r="A55" s="11"/>
      <c r="B55" s="12"/>
      <c r="C55" s="27"/>
      <c r="D55" s="27"/>
      <c r="E55" s="27"/>
      <c r="F55" s="27"/>
      <c r="G55" s="27"/>
      <c r="H55" s="34"/>
      <c r="I55" s="34"/>
      <c r="J55" s="27"/>
      <c r="K55" s="27"/>
      <c r="L55" s="27"/>
      <c r="M55" s="5"/>
      <c r="N55" s="27"/>
      <c r="O55" s="27"/>
      <c r="P55" s="5"/>
      <c r="Q55" s="31"/>
      <c r="R55" s="31"/>
      <c r="S55" s="23"/>
      <c r="T55" s="23"/>
      <c r="U55" s="13"/>
      <c r="V55" s="19"/>
      <c r="W55" s="19"/>
      <c r="X55" s="13"/>
      <c r="Y55" s="13"/>
      <c r="Z55" s="19"/>
      <c r="AA55" s="19"/>
    </row>
    <row r="56" spans="1:27" x14ac:dyDescent="0.25">
      <c r="A56" s="11"/>
      <c r="B56" s="12"/>
      <c r="C56" s="27"/>
      <c r="D56" s="27"/>
      <c r="E56" s="27"/>
      <c r="F56" s="27"/>
      <c r="G56" s="27"/>
      <c r="H56" s="34"/>
      <c r="I56" s="34"/>
      <c r="J56" s="27"/>
      <c r="K56" s="27"/>
      <c r="L56" s="27"/>
      <c r="M56" s="5"/>
      <c r="N56" s="27"/>
      <c r="O56" s="27"/>
      <c r="P56" s="5"/>
      <c r="Q56" s="31"/>
      <c r="R56" s="31"/>
      <c r="S56" s="23"/>
      <c r="T56" s="23"/>
      <c r="U56" s="13"/>
      <c r="V56" s="19"/>
      <c r="W56" s="19"/>
      <c r="X56" s="13"/>
      <c r="Y56" s="13"/>
      <c r="Z56" s="19"/>
      <c r="AA56" s="19"/>
    </row>
    <row r="57" spans="1:27" x14ac:dyDescent="0.25">
      <c r="A57" s="11"/>
      <c r="B57" s="12"/>
      <c r="C57" s="27"/>
      <c r="D57" s="27"/>
      <c r="E57" s="27"/>
      <c r="F57" s="27"/>
      <c r="G57" s="27"/>
      <c r="H57" s="34"/>
      <c r="I57" s="34"/>
      <c r="J57" s="27"/>
      <c r="K57" s="27"/>
      <c r="L57" s="27"/>
      <c r="M57" s="5"/>
      <c r="N57" s="27"/>
      <c r="O57" s="27"/>
      <c r="P57" s="5"/>
      <c r="Q57" s="31"/>
      <c r="R57" s="31"/>
      <c r="S57" s="23"/>
      <c r="T57" s="23"/>
      <c r="U57" s="13"/>
      <c r="V57" s="19"/>
      <c r="W57" s="19"/>
      <c r="X57" s="13"/>
      <c r="Y57" s="13"/>
      <c r="Z57" s="19"/>
      <c r="AA57" s="19"/>
    </row>
    <row r="58" spans="1:27" x14ac:dyDescent="0.25">
      <c r="A58" s="11"/>
      <c r="B58" s="12"/>
      <c r="C58" s="27"/>
      <c r="D58" s="27"/>
      <c r="E58" s="27"/>
      <c r="F58" s="27"/>
      <c r="G58" s="27"/>
      <c r="H58" s="34"/>
      <c r="I58" s="34"/>
      <c r="J58" s="27"/>
      <c r="K58" s="27"/>
      <c r="L58" s="27"/>
      <c r="M58" s="5"/>
      <c r="N58" s="27"/>
      <c r="O58" s="27"/>
      <c r="P58" s="5"/>
      <c r="Q58" s="31"/>
      <c r="R58" s="31"/>
      <c r="S58" s="23"/>
      <c r="T58" s="23"/>
      <c r="U58" s="13"/>
      <c r="V58" s="19"/>
      <c r="W58" s="19"/>
      <c r="X58" s="13"/>
      <c r="Y58" s="13"/>
      <c r="Z58" s="19"/>
      <c r="AA58" s="19"/>
    </row>
    <row r="59" spans="1:27" x14ac:dyDescent="0.25">
      <c r="A59" s="11"/>
      <c r="B59" s="12"/>
      <c r="C59" s="27"/>
      <c r="D59" s="27"/>
      <c r="E59" s="27"/>
      <c r="F59" s="27"/>
      <c r="G59" s="27"/>
      <c r="H59" s="34"/>
      <c r="I59" s="34"/>
      <c r="J59" s="27"/>
      <c r="K59" s="27"/>
      <c r="L59" s="27"/>
      <c r="M59" s="5"/>
      <c r="N59" s="27"/>
      <c r="O59" s="27"/>
      <c r="P59" s="5"/>
      <c r="Q59" s="31"/>
      <c r="R59" s="31"/>
      <c r="S59" s="23"/>
      <c r="T59" s="23"/>
      <c r="U59" s="13"/>
      <c r="V59" s="19"/>
      <c r="W59" s="19"/>
      <c r="X59" s="13"/>
      <c r="Y59" s="13"/>
      <c r="Z59" s="19"/>
      <c r="AA59" s="19"/>
    </row>
    <row r="60" spans="1:27" x14ac:dyDescent="0.25">
      <c r="A60" s="11"/>
      <c r="B60" s="12"/>
      <c r="C60" s="27"/>
      <c r="D60" s="27"/>
      <c r="E60" s="27"/>
      <c r="F60" s="27"/>
      <c r="G60" s="27"/>
      <c r="H60" s="34"/>
      <c r="I60" s="34"/>
      <c r="J60" s="27"/>
      <c r="K60" s="27"/>
      <c r="L60" s="27"/>
      <c r="M60" s="5"/>
      <c r="N60" s="27"/>
      <c r="O60" s="27"/>
      <c r="P60" s="5"/>
      <c r="Q60" s="31"/>
      <c r="R60" s="31"/>
      <c r="S60" s="23"/>
      <c r="T60" s="23"/>
      <c r="U60" s="13"/>
      <c r="V60" s="19"/>
      <c r="W60" s="19"/>
      <c r="X60" s="13"/>
      <c r="Y60" s="13"/>
      <c r="Z60" s="19"/>
      <c r="AA60" s="19"/>
    </row>
    <row r="61" spans="1:27" x14ac:dyDescent="0.25">
      <c r="A61" s="11"/>
      <c r="B61" s="12"/>
      <c r="C61" s="27"/>
      <c r="D61" s="27"/>
      <c r="E61" s="27"/>
      <c r="F61" s="27"/>
      <c r="G61" s="27"/>
      <c r="H61" s="34"/>
      <c r="I61" s="34"/>
      <c r="J61" s="27"/>
      <c r="K61" s="27"/>
      <c r="L61" s="27"/>
      <c r="M61" s="5"/>
      <c r="N61" s="27"/>
      <c r="O61" s="27"/>
      <c r="P61" s="5"/>
      <c r="Q61" s="31"/>
      <c r="R61" s="31"/>
      <c r="S61" s="23"/>
      <c r="T61" s="23"/>
      <c r="U61" s="13"/>
      <c r="V61" s="19"/>
      <c r="W61" s="19"/>
      <c r="X61" s="13"/>
      <c r="Y61" s="13"/>
      <c r="Z61" s="19"/>
      <c r="AA61" s="19"/>
    </row>
    <row r="62" spans="1:27" x14ac:dyDescent="0.25">
      <c r="A62" s="11"/>
      <c r="B62" s="12"/>
      <c r="C62" s="27"/>
      <c r="D62" s="27"/>
      <c r="E62" s="27"/>
      <c r="F62" s="27"/>
      <c r="G62" s="27"/>
      <c r="H62" s="34"/>
      <c r="I62" s="34"/>
      <c r="J62" s="27"/>
      <c r="K62" s="27"/>
      <c r="L62" s="27"/>
      <c r="M62" s="5"/>
      <c r="N62" s="27"/>
      <c r="O62" s="27"/>
      <c r="P62" s="5"/>
      <c r="Q62" s="31"/>
      <c r="R62" s="31"/>
      <c r="S62" s="23"/>
      <c r="T62" s="23"/>
      <c r="U62" s="13"/>
      <c r="V62" s="19"/>
      <c r="W62" s="19"/>
      <c r="X62" s="13"/>
      <c r="Y62" s="13"/>
      <c r="Z62" s="19"/>
      <c r="AA62" s="19"/>
    </row>
    <row r="63" spans="1:27" x14ac:dyDescent="0.25">
      <c r="A63" s="11"/>
      <c r="B63" s="12"/>
      <c r="C63" s="27"/>
      <c r="D63" s="27"/>
      <c r="E63" s="27"/>
      <c r="F63" s="27"/>
      <c r="G63" s="27"/>
      <c r="H63" s="34"/>
      <c r="I63" s="34"/>
      <c r="J63" s="27"/>
      <c r="K63" s="27"/>
      <c r="L63" s="27"/>
      <c r="M63" s="5"/>
      <c r="N63" s="27"/>
      <c r="O63" s="27"/>
      <c r="P63" s="5"/>
      <c r="Q63" s="31"/>
      <c r="R63" s="31"/>
      <c r="S63" s="23"/>
      <c r="T63" s="23"/>
      <c r="U63" s="13"/>
      <c r="V63" s="19"/>
      <c r="W63" s="19"/>
      <c r="X63" s="13"/>
      <c r="Y63" s="13"/>
      <c r="Z63" s="19"/>
      <c r="AA63" s="19"/>
    </row>
    <row r="64" spans="1:27" x14ac:dyDescent="0.25">
      <c r="A64" s="11"/>
      <c r="B64" s="12"/>
      <c r="C64" s="27"/>
      <c r="D64" s="27"/>
      <c r="E64" s="27"/>
      <c r="F64" s="27"/>
      <c r="G64" s="27"/>
      <c r="H64" s="34"/>
      <c r="I64" s="34"/>
      <c r="J64" s="27"/>
      <c r="K64" s="27"/>
      <c r="L64" s="27"/>
      <c r="M64" s="5"/>
      <c r="N64" s="27"/>
      <c r="O64" s="27"/>
      <c r="P64" s="5"/>
      <c r="Q64" s="31"/>
      <c r="R64" s="31"/>
      <c r="S64" s="23"/>
      <c r="T64" s="23"/>
      <c r="U64" s="13"/>
      <c r="V64" s="19"/>
      <c r="W64" s="19"/>
      <c r="X64" s="13"/>
      <c r="Y64" s="13"/>
      <c r="Z64" s="19"/>
      <c r="AA64" s="19"/>
    </row>
    <row r="65" spans="1:27" x14ac:dyDescent="0.25">
      <c r="A65" s="11"/>
      <c r="B65" s="12"/>
      <c r="C65" s="27"/>
      <c r="D65" s="27"/>
      <c r="E65" s="27"/>
      <c r="F65" s="27"/>
      <c r="G65" s="27"/>
      <c r="H65" s="34"/>
      <c r="I65" s="34"/>
      <c r="J65" s="27"/>
      <c r="K65" s="27"/>
      <c r="L65" s="27"/>
      <c r="M65" s="5"/>
      <c r="N65" s="27"/>
      <c r="O65" s="27"/>
      <c r="P65" s="5"/>
      <c r="Q65" s="31"/>
      <c r="R65" s="31"/>
      <c r="S65" s="23"/>
      <c r="T65" s="23"/>
      <c r="U65" s="13"/>
      <c r="V65" s="19"/>
      <c r="W65" s="19"/>
      <c r="X65" s="13"/>
      <c r="Y65" s="13"/>
      <c r="Z65" s="19"/>
      <c r="AA65" s="19"/>
    </row>
    <row r="66" spans="1:27" x14ac:dyDescent="0.25">
      <c r="A66" s="11"/>
      <c r="B66" s="12"/>
      <c r="C66" s="27"/>
      <c r="D66" s="27"/>
      <c r="E66" s="27"/>
      <c r="F66" s="27"/>
      <c r="G66" s="27"/>
      <c r="H66" s="34"/>
      <c r="I66" s="34"/>
      <c r="J66" s="27"/>
      <c r="K66" s="27"/>
      <c r="L66" s="27"/>
      <c r="M66" s="5"/>
      <c r="N66" s="27"/>
      <c r="O66" s="27"/>
      <c r="P66" s="5"/>
      <c r="Q66" s="31"/>
      <c r="R66" s="31"/>
      <c r="S66" s="23"/>
      <c r="T66" s="23"/>
      <c r="U66" s="13"/>
      <c r="V66" s="19"/>
      <c r="W66" s="19"/>
      <c r="X66" s="13"/>
      <c r="Y66" s="13"/>
      <c r="Z66" s="19"/>
      <c r="AA66" s="19"/>
    </row>
    <row r="67" spans="1:27" x14ac:dyDescent="0.25">
      <c r="A67" s="11"/>
      <c r="B67" s="12"/>
      <c r="C67" s="27"/>
      <c r="D67" s="27"/>
      <c r="E67" s="27"/>
      <c r="F67" s="27"/>
      <c r="G67" s="27"/>
      <c r="H67" s="34"/>
      <c r="I67" s="34"/>
      <c r="J67" s="27"/>
      <c r="K67" s="27"/>
      <c r="L67" s="27"/>
      <c r="M67" s="5"/>
      <c r="N67" s="27"/>
      <c r="O67" s="27"/>
      <c r="P67" s="5"/>
      <c r="Q67" s="31"/>
      <c r="R67" s="31"/>
      <c r="S67" s="23"/>
      <c r="T67" s="23"/>
      <c r="U67" s="13"/>
      <c r="V67" s="19"/>
      <c r="W67" s="19"/>
      <c r="X67" s="13"/>
      <c r="Y67" s="13"/>
      <c r="Z67" s="19"/>
      <c r="AA67" s="19"/>
    </row>
    <row r="68" spans="1:27" x14ac:dyDescent="0.25">
      <c r="A68" s="11"/>
      <c r="B68" s="12"/>
      <c r="C68" s="27"/>
      <c r="D68" s="27"/>
      <c r="E68" s="27"/>
      <c r="F68" s="27"/>
      <c r="G68" s="27"/>
      <c r="H68" s="34"/>
      <c r="I68" s="34"/>
      <c r="J68" s="27"/>
      <c r="K68" s="27"/>
      <c r="L68" s="27"/>
      <c r="M68" s="5"/>
      <c r="N68" s="27"/>
      <c r="O68" s="27"/>
      <c r="P68" s="5"/>
      <c r="Q68" s="31"/>
      <c r="R68" s="31"/>
      <c r="S68" s="23"/>
      <c r="T68" s="23"/>
      <c r="U68" s="13"/>
      <c r="V68" s="19"/>
      <c r="W68" s="19"/>
      <c r="X68" s="13"/>
      <c r="Y68" s="13"/>
      <c r="Z68" s="19"/>
      <c r="AA68" s="19"/>
    </row>
    <row r="69" spans="1:27" x14ac:dyDescent="0.25">
      <c r="A69" s="11"/>
      <c r="B69" s="12"/>
      <c r="C69" s="27"/>
      <c r="D69" s="27"/>
      <c r="E69" s="27"/>
      <c r="F69" s="27"/>
      <c r="G69" s="27"/>
      <c r="H69" s="34"/>
      <c r="I69" s="34"/>
      <c r="J69" s="27"/>
      <c r="K69" s="27"/>
      <c r="L69" s="27"/>
      <c r="M69" s="5"/>
      <c r="N69" s="27"/>
      <c r="O69" s="27"/>
      <c r="P69" s="5"/>
      <c r="Q69" s="31"/>
      <c r="R69" s="31"/>
      <c r="S69" s="23"/>
      <c r="T69" s="23"/>
      <c r="U69" s="13"/>
      <c r="V69" s="19"/>
      <c r="W69" s="19"/>
      <c r="X69" s="13"/>
      <c r="Y69" s="13"/>
      <c r="Z69" s="19"/>
      <c r="AA69" s="19"/>
    </row>
    <row r="70" spans="1:27" x14ac:dyDescent="0.25">
      <c r="A70" s="11"/>
      <c r="B70" s="12"/>
      <c r="C70" s="27"/>
      <c r="D70" s="27"/>
      <c r="E70" s="27"/>
      <c r="F70" s="27"/>
      <c r="G70" s="27"/>
      <c r="H70" s="34"/>
      <c r="I70" s="34"/>
      <c r="J70" s="27"/>
      <c r="K70" s="27"/>
      <c r="L70" s="27"/>
      <c r="M70" s="5"/>
      <c r="N70" s="27"/>
      <c r="O70" s="27"/>
      <c r="P70" s="5"/>
      <c r="Q70" s="31"/>
      <c r="R70" s="31"/>
      <c r="S70" s="23"/>
      <c r="T70" s="23"/>
      <c r="U70" s="13"/>
      <c r="V70" s="19"/>
      <c r="W70" s="19"/>
      <c r="X70" s="13"/>
      <c r="Y70" s="13"/>
      <c r="Z70" s="19"/>
      <c r="AA70" s="19"/>
    </row>
    <row r="71" spans="1:27" x14ac:dyDescent="0.25">
      <c r="A71" s="11"/>
      <c r="B71" s="12"/>
      <c r="C71" s="27"/>
      <c r="D71" s="27"/>
      <c r="E71" s="27"/>
      <c r="F71" s="27"/>
      <c r="G71" s="27"/>
      <c r="H71" s="34"/>
      <c r="I71" s="34"/>
      <c r="J71" s="27"/>
      <c r="K71" s="27"/>
      <c r="L71" s="27"/>
      <c r="M71" s="5"/>
      <c r="N71" s="27"/>
      <c r="O71" s="27"/>
      <c r="P71" s="5"/>
      <c r="Q71" s="31"/>
      <c r="R71" s="31"/>
      <c r="S71" s="23"/>
      <c r="T71" s="23"/>
      <c r="U71" s="13"/>
      <c r="V71" s="19"/>
      <c r="W71" s="19"/>
      <c r="X71" s="13"/>
      <c r="Y71" s="13"/>
      <c r="Z71" s="19"/>
      <c r="AA71" s="19"/>
    </row>
    <row r="72" spans="1:27" x14ac:dyDescent="0.25">
      <c r="A72" s="11"/>
      <c r="B72" s="12"/>
      <c r="C72" s="27"/>
      <c r="D72" s="27"/>
      <c r="E72" s="27"/>
      <c r="F72" s="27"/>
      <c r="G72" s="27"/>
      <c r="H72" s="34"/>
      <c r="I72" s="34"/>
      <c r="J72" s="27"/>
      <c r="K72" s="27"/>
      <c r="L72" s="27"/>
      <c r="M72" s="5"/>
      <c r="N72" s="27"/>
      <c r="O72" s="27"/>
      <c r="P72" s="5"/>
      <c r="Q72" s="31"/>
      <c r="R72" s="31"/>
      <c r="S72" s="23"/>
      <c r="T72" s="23"/>
      <c r="U72" s="13"/>
      <c r="V72" s="19"/>
      <c r="W72" s="19"/>
      <c r="X72" s="13"/>
      <c r="Y72" s="13"/>
      <c r="Z72" s="19"/>
      <c r="AA72" s="19"/>
    </row>
    <row r="73" spans="1:27" x14ac:dyDescent="0.25">
      <c r="A73" s="11"/>
      <c r="B73" s="12"/>
      <c r="C73" s="27"/>
      <c r="D73" s="27"/>
      <c r="E73" s="27"/>
      <c r="F73" s="27"/>
      <c r="G73" s="27"/>
      <c r="H73" s="34"/>
      <c r="I73" s="34"/>
      <c r="J73" s="27"/>
      <c r="K73" s="27"/>
      <c r="L73" s="27"/>
      <c r="M73" s="5"/>
      <c r="N73" s="27"/>
      <c r="O73" s="27"/>
      <c r="P73" s="5"/>
      <c r="Q73" s="31"/>
      <c r="R73" s="31"/>
      <c r="S73" s="23"/>
      <c r="T73" s="23"/>
      <c r="U73" s="13"/>
      <c r="V73" s="19"/>
      <c r="W73" s="19"/>
      <c r="X73" s="13"/>
      <c r="Y73" s="13"/>
      <c r="Z73" s="19"/>
      <c r="AA73" s="19"/>
    </row>
    <row r="74" spans="1:27" x14ac:dyDescent="0.25">
      <c r="A74" s="11"/>
      <c r="B74" s="12"/>
      <c r="C74" s="27"/>
      <c r="D74" s="27"/>
      <c r="E74" s="27"/>
      <c r="F74" s="27"/>
      <c r="G74" s="27"/>
      <c r="H74" s="34"/>
      <c r="I74" s="34"/>
      <c r="J74" s="27"/>
      <c r="K74" s="27"/>
      <c r="L74" s="27"/>
      <c r="M74" s="5"/>
      <c r="N74" s="27"/>
      <c r="O74" s="27"/>
      <c r="P74" s="5"/>
      <c r="Q74" s="31"/>
      <c r="R74" s="31"/>
      <c r="S74" s="23"/>
      <c r="T74" s="23"/>
      <c r="U74" s="13"/>
      <c r="V74" s="19"/>
      <c r="W74" s="19"/>
      <c r="X74" s="13"/>
      <c r="Y74" s="13"/>
      <c r="Z74" s="19"/>
      <c r="AA74" s="19"/>
    </row>
    <row r="75" spans="1:27" x14ac:dyDescent="0.25">
      <c r="A75" s="11"/>
      <c r="B75" s="12"/>
      <c r="C75" s="27"/>
      <c r="D75" s="27"/>
      <c r="E75" s="27"/>
      <c r="F75" s="27"/>
      <c r="G75" s="27"/>
      <c r="H75" s="34"/>
      <c r="I75" s="34"/>
      <c r="J75" s="27"/>
      <c r="K75" s="27"/>
      <c r="L75" s="27"/>
      <c r="M75" s="5"/>
      <c r="N75" s="27"/>
      <c r="O75" s="27"/>
      <c r="P75" s="5"/>
      <c r="Q75" s="31"/>
      <c r="R75" s="31"/>
      <c r="S75" s="23"/>
      <c r="T75" s="23"/>
      <c r="U75" s="13"/>
      <c r="V75" s="19"/>
      <c r="W75" s="19"/>
      <c r="X75" s="13"/>
      <c r="Y75" s="13"/>
      <c r="Z75" s="19"/>
      <c r="AA75" s="19"/>
    </row>
    <row r="76" spans="1:27" x14ac:dyDescent="0.25">
      <c r="A76" s="11"/>
      <c r="B76" s="12"/>
      <c r="C76" s="27"/>
      <c r="D76" s="27"/>
      <c r="E76" s="27"/>
      <c r="F76" s="27"/>
      <c r="G76" s="27"/>
      <c r="H76" s="34"/>
      <c r="I76" s="34"/>
      <c r="J76" s="27"/>
      <c r="K76" s="27"/>
      <c r="L76" s="27"/>
      <c r="M76" s="5"/>
      <c r="N76" s="27"/>
      <c r="O76" s="27"/>
      <c r="P76" s="5"/>
      <c r="Q76" s="31"/>
      <c r="R76" s="31"/>
      <c r="S76" s="23"/>
      <c r="T76" s="23"/>
      <c r="U76" s="13"/>
      <c r="V76" s="19"/>
      <c r="W76" s="19"/>
      <c r="X76" s="13"/>
      <c r="Y76" s="13"/>
      <c r="Z76" s="19"/>
      <c r="AA76" s="19"/>
    </row>
    <row r="77" spans="1:27" x14ac:dyDescent="0.25">
      <c r="A77" s="11"/>
      <c r="B77" s="12"/>
      <c r="C77" s="27"/>
      <c r="D77" s="27"/>
      <c r="E77" s="27"/>
      <c r="F77" s="27"/>
      <c r="G77" s="27"/>
      <c r="H77" s="34"/>
      <c r="I77" s="34"/>
      <c r="J77" s="27"/>
      <c r="K77" s="27"/>
      <c r="L77" s="27"/>
      <c r="M77" s="5"/>
      <c r="N77" s="27"/>
      <c r="O77" s="27"/>
      <c r="P77" s="5"/>
      <c r="Q77" s="31"/>
      <c r="R77" s="31"/>
      <c r="S77" s="23"/>
      <c r="T77" s="23"/>
      <c r="U77" s="13"/>
      <c r="V77" s="19"/>
      <c r="W77" s="19"/>
      <c r="X77" s="13"/>
      <c r="Y77" s="13"/>
      <c r="Z77" s="19"/>
      <c r="AA77" s="19"/>
    </row>
    <row r="78" spans="1:27" x14ac:dyDescent="0.25">
      <c r="A78" s="11"/>
      <c r="B78" s="12"/>
      <c r="C78" s="27"/>
      <c r="D78" s="27"/>
      <c r="E78" s="27"/>
      <c r="F78" s="27"/>
      <c r="G78" s="27"/>
      <c r="H78" s="34"/>
      <c r="I78" s="34"/>
      <c r="J78" s="27"/>
      <c r="K78" s="27"/>
      <c r="L78" s="27"/>
      <c r="M78" s="5"/>
      <c r="N78" s="27"/>
      <c r="O78" s="27"/>
      <c r="P78" s="5"/>
      <c r="Q78" s="31"/>
      <c r="R78" s="31"/>
      <c r="S78" s="23"/>
      <c r="T78" s="23"/>
      <c r="U78" s="13"/>
      <c r="V78" s="19"/>
      <c r="W78" s="19"/>
      <c r="X78" s="13"/>
      <c r="Y78" s="13"/>
      <c r="Z78" s="19"/>
      <c r="AA78" s="19"/>
    </row>
    <row r="79" spans="1:27" x14ac:dyDescent="0.25">
      <c r="A79" s="11"/>
      <c r="B79" s="12"/>
      <c r="C79" s="27"/>
      <c r="D79" s="27"/>
      <c r="E79" s="27"/>
      <c r="F79" s="27"/>
      <c r="G79" s="27"/>
      <c r="H79" s="34"/>
      <c r="I79" s="34"/>
      <c r="J79" s="27"/>
      <c r="K79" s="27"/>
      <c r="L79" s="27"/>
      <c r="M79" s="5"/>
      <c r="N79" s="27"/>
      <c r="O79" s="27"/>
      <c r="P79" s="5"/>
      <c r="Q79" s="31"/>
      <c r="R79" s="31"/>
      <c r="S79" s="23"/>
      <c r="T79" s="23"/>
      <c r="U79" s="13"/>
      <c r="V79" s="19"/>
      <c r="W79" s="19"/>
      <c r="X79" s="13"/>
      <c r="Y79" s="13"/>
      <c r="Z79" s="19"/>
      <c r="AA79" s="19"/>
    </row>
    <row r="80" spans="1:27" x14ac:dyDescent="0.25">
      <c r="A80" s="11"/>
      <c r="B80" s="12"/>
      <c r="C80" s="27"/>
      <c r="D80" s="27"/>
      <c r="E80" s="27"/>
      <c r="F80" s="27"/>
      <c r="G80" s="27"/>
      <c r="H80" s="34"/>
      <c r="I80" s="34"/>
      <c r="J80" s="27"/>
      <c r="K80" s="27"/>
      <c r="L80" s="27"/>
      <c r="M80" s="5"/>
      <c r="N80" s="27"/>
      <c r="O80" s="27"/>
      <c r="P80" s="5"/>
      <c r="Q80" s="31"/>
      <c r="R80" s="31"/>
      <c r="S80" s="23"/>
      <c r="T80" s="23"/>
      <c r="U80" s="13"/>
      <c r="V80" s="19"/>
      <c r="W80" s="19"/>
      <c r="X80" s="13"/>
      <c r="Y80" s="13"/>
      <c r="Z80" s="19"/>
      <c r="AA80" s="19"/>
    </row>
    <row r="81" spans="1:27" x14ac:dyDescent="0.25">
      <c r="A81" s="11"/>
      <c r="B81" s="12"/>
      <c r="C81" s="27"/>
      <c r="D81" s="27"/>
      <c r="E81" s="27"/>
      <c r="F81" s="27"/>
      <c r="G81" s="27"/>
      <c r="H81" s="34"/>
      <c r="I81" s="34"/>
      <c r="J81" s="27"/>
      <c r="K81" s="27"/>
      <c r="L81" s="27"/>
      <c r="M81" s="5"/>
      <c r="N81" s="27"/>
      <c r="O81" s="27"/>
      <c r="P81" s="5"/>
      <c r="Q81" s="31"/>
      <c r="R81" s="31"/>
      <c r="S81" s="23"/>
      <c r="T81" s="23"/>
      <c r="U81" s="13"/>
      <c r="V81" s="19"/>
      <c r="W81" s="19"/>
      <c r="X81" s="13"/>
      <c r="Y81" s="13"/>
      <c r="Z81" s="19"/>
      <c r="AA81" s="19"/>
    </row>
    <row r="82" spans="1:27" x14ac:dyDescent="0.25">
      <c r="A82" s="11"/>
      <c r="B82" s="12"/>
      <c r="C82" s="27"/>
      <c r="D82" s="27"/>
      <c r="E82" s="27"/>
      <c r="F82" s="27"/>
      <c r="G82" s="27"/>
      <c r="H82" s="34"/>
      <c r="I82" s="34"/>
      <c r="J82" s="27"/>
      <c r="K82" s="27"/>
      <c r="L82" s="27"/>
      <c r="M82" s="5"/>
      <c r="N82" s="27"/>
      <c r="O82" s="27"/>
      <c r="P82" s="5"/>
      <c r="Q82" s="31"/>
      <c r="R82" s="31"/>
      <c r="S82" s="23"/>
      <c r="T82" s="23"/>
      <c r="U82" s="13"/>
      <c r="V82" s="19"/>
      <c r="W82" s="19"/>
      <c r="X82" s="13"/>
      <c r="Y82" s="13"/>
      <c r="Z82" s="19"/>
      <c r="AA82" s="19"/>
    </row>
    <row r="83" spans="1:27" x14ac:dyDescent="0.25">
      <c r="A83" s="11"/>
      <c r="B83" s="12"/>
      <c r="C83" s="27"/>
      <c r="D83" s="27"/>
      <c r="E83" s="27"/>
      <c r="F83" s="27"/>
      <c r="G83" s="27"/>
      <c r="H83" s="34"/>
      <c r="I83" s="34"/>
      <c r="J83" s="27"/>
      <c r="K83" s="27"/>
      <c r="L83" s="27"/>
      <c r="M83" s="5"/>
      <c r="N83" s="27"/>
      <c r="O83" s="27"/>
      <c r="P83" s="5"/>
      <c r="Q83" s="31"/>
      <c r="R83" s="31"/>
      <c r="S83" s="23"/>
      <c r="T83" s="23"/>
      <c r="U83" s="13"/>
      <c r="V83" s="19"/>
      <c r="W83" s="19"/>
      <c r="X83" s="13"/>
      <c r="Y83" s="13"/>
      <c r="Z83" s="19"/>
      <c r="AA83" s="19"/>
    </row>
    <row r="84" spans="1:27" x14ac:dyDescent="0.25">
      <c r="A84" s="11"/>
      <c r="B84" s="12"/>
      <c r="C84" s="27"/>
      <c r="D84" s="27"/>
      <c r="E84" s="27"/>
      <c r="F84" s="27"/>
      <c r="G84" s="27"/>
      <c r="H84" s="34"/>
      <c r="I84" s="34"/>
      <c r="J84" s="27"/>
      <c r="K84" s="27"/>
      <c r="L84" s="27"/>
      <c r="M84" s="5"/>
      <c r="N84" s="27"/>
      <c r="O84" s="27"/>
      <c r="P84" s="5"/>
      <c r="Q84" s="31"/>
      <c r="R84" s="31"/>
      <c r="S84" s="23"/>
      <c r="T84" s="23"/>
      <c r="U84" s="13"/>
      <c r="V84" s="19"/>
      <c r="W84" s="19"/>
      <c r="X84" s="13"/>
      <c r="Y84" s="13"/>
      <c r="Z84" s="19"/>
      <c r="AA84" s="19"/>
    </row>
    <row r="85" spans="1:27" x14ac:dyDescent="0.25">
      <c r="A85" s="11"/>
      <c r="B85" s="12"/>
      <c r="C85" s="27"/>
      <c r="D85" s="27"/>
      <c r="E85" s="27"/>
      <c r="F85" s="27"/>
      <c r="G85" s="27"/>
      <c r="H85" s="34"/>
      <c r="I85" s="34"/>
      <c r="J85" s="27"/>
      <c r="K85" s="27"/>
      <c r="L85" s="27"/>
      <c r="M85" s="5"/>
      <c r="N85" s="27"/>
      <c r="O85" s="27"/>
      <c r="P85" s="5"/>
      <c r="Q85" s="31"/>
      <c r="R85" s="31"/>
      <c r="S85" s="23"/>
      <c r="T85" s="23"/>
      <c r="U85" s="13"/>
      <c r="V85" s="19"/>
      <c r="W85" s="19"/>
      <c r="X85" s="13"/>
      <c r="Y85" s="13"/>
      <c r="Z85" s="19"/>
      <c r="AA85" s="19"/>
    </row>
    <row r="86" spans="1:27" x14ac:dyDescent="0.25">
      <c r="A86" s="11"/>
      <c r="B86" s="12"/>
      <c r="C86" s="27"/>
      <c r="D86" s="27"/>
      <c r="E86" s="27"/>
      <c r="F86" s="27"/>
      <c r="G86" s="27"/>
      <c r="H86" s="34"/>
      <c r="I86" s="34"/>
      <c r="J86" s="27"/>
      <c r="K86" s="27"/>
      <c r="L86" s="27"/>
      <c r="M86" s="5"/>
      <c r="N86" s="27"/>
      <c r="O86" s="27"/>
      <c r="P86" s="5"/>
      <c r="Q86" s="31"/>
      <c r="R86" s="31"/>
      <c r="S86" s="23"/>
      <c r="T86" s="23"/>
      <c r="U86" s="13"/>
      <c r="V86" s="19"/>
      <c r="W86" s="19"/>
      <c r="X86" s="13"/>
      <c r="Y86" s="13"/>
      <c r="Z86" s="19"/>
      <c r="AA86" s="19"/>
    </row>
    <row r="87" spans="1:27" x14ac:dyDescent="0.25">
      <c r="A87" s="11"/>
      <c r="B87" s="12"/>
      <c r="C87" s="27"/>
      <c r="D87" s="27"/>
      <c r="E87" s="27"/>
      <c r="F87" s="27"/>
      <c r="G87" s="27"/>
      <c r="H87" s="34"/>
      <c r="I87" s="34"/>
      <c r="J87" s="27"/>
      <c r="K87" s="27"/>
      <c r="L87" s="27"/>
      <c r="M87" s="5"/>
      <c r="N87" s="27"/>
      <c r="O87" s="27"/>
      <c r="P87" s="5"/>
      <c r="Q87" s="31"/>
      <c r="R87" s="31"/>
      <c r="S87" s="23"/>
      <c r="T87" s="23"/>
      <c r="U87" s="13"/>
      <c r="V87" s="19"/>
      <c r="W87" s="19"/>
      <c r="X87" s="13"/>
      <c r="Y87" s="13"/>
      <c r="Z87" s="19"/>
      <c r="AA87" s="19"/>
    </row>
    <row r="88" spans="1:27" x14ac:dyDescent="0.25">
      <c r="A88" s="11"/>
      <c r="B88" s="12"/>
      <c r="C88" s="27"/>
      <c r="D88" s="27"/>
      <c r="E88" s="27"/>
      <c r="F88" s="27"/>
      <c r="G88" s="27"/>
      <c r="H88" s="34"/>
      <c r="I88" s="34"/>
      <c r="J88" s="27"/>
      <c r="K88" s="27"/>
      <c r="L88" s="27"/>
      <c r="M88" s="5"/>
      <c r="N88" s="27"/>
      <c r="O88" s="27"/>
      <c r="P88" s="5"/>
      <c r="Q88" s="31"/>
      <c r="R88" s="31"/>
      <c r="S88" s="23"/>
      <c r="T88" s="23"/>
      <c r="U88" s="13"/>
      <c r="V88" s="19"/>
      <c r="W88" s="19"/>
      <c r="X88" s="13"/>
      <c r="Y88" s="13"/>
      <c r="Z88" s="19"/>
      <c r="AA88" s="19"/>
    </row>
    <row r="89" spans="1:27" x14ac:dyDescent="0.25">
      <c r="A89" s="11"/>
      <c r="B89" s="12"/>
      <c r="C89" s="27"/>
      <c r="D89" s="27"/>
      <c r="E89" s="27"/>
      <c r="F89" s="27"/>
      <c r="G89" s="27"/>
      <c r="H89" s="34"/>
      <c r="I89" s="34"/>
      <c r="J89" s="27"/>
      <c r="K89" s="27"/>
      <c r="L89" s="27"/>
      <c r="M89" s="5"/>
      <c r="N89" s="27"/>
      <c r="O89" s="27"/>
      <c r="P89" s="5"/>
      <c r="Q89" s="31"/>
      <c r="R89" s="31"/>
      <c r="S89" s="23"/>
      <c r="T89" s="23"/>
      <c r="U89" s="13"/>
      <c r="V89" s="19"/>
      <c r="W89" s="19"/>
      <c r="X89" s="13"/>
      <c r="Y89" s="13"/>
      <c r="Z89" s="19"/>
      <c r="AA89" s="19"/>
    </row>
    <row r="90" spans="1:27" x14ac:dyDescent="0.25">
      <c r="A90" s="11"/>
      <c r="B90" s="12"/>
      <c r="C90" s="27"/>
      <c r="D90" s="27"/>
      <c r="E90" s="27"/>
      <c r="F90" s="27"/>
      <c r="G90" s="27"/>
      <c r="H90" s="34"/>
      <c r="I90" s="34"/>
      <c r="J90" s="27"/>
      <c r="K90" s="27"/>
      <c r="L90" s="27"/>
      <c r="M90" s="5"/>
      <c r="N90" s="27"/>
      <c r="O90" s="27"/>
      <c r="P90" s="5"/>
      <c r="Q90" s="31"/>
      <c r="R90" s="31"/>
      <c r="S90" s="23"/>
      <c r="T90" s="23"/>
      <c r="U90" s="13"/>
      <c r="V90" s="19"/>
      <c r="W90" s="19"/>
      <c r="X90" s="13"/>
      <c r="Y90" s="13"/>
      <c r="Z90" s="19"/>
      <c r="AA90" s="19"/>
    </row>
    <row r="91" spans="1:27" x14ac:dyDescent="0.25">
      <c r="A91" s="11"/>
      <c r="B91" s="12"/>
      <c r="C91" s="27"/>
      <c r="D91" s="27"/>
      <c r="E91" s="27"/>
      <c r="F91" s="27"/>
      <c r="G91" s="27"/>
      <c r="H91" s="34"/>
      <c r="I91" s="34"/>
      <c r="J91" s="27"/>
      <c r="K91" s="27"/>
      <c r="L91" s="27"/>
      <c r="M91" s="5"/>
      <c r="N91" s="27"/>
      <c r="O91" s="27"/>
      <c r="P91" s="5"/>
      <c r="Q91" s="31"/>
      <c r="R91" s="31"/>
      <c r="S91" s="23"/>
      <c r="T91" s="23"/>
      <c r="U91" s="13"/>
      <c r="V91" s="19"/>
      <c r="W91" s="19"/>
      <c r="X91" s="13"/>
      <c r="Y91" s="13"/>
      <c r="Z91" s="19"/>
      <c r="AA91" s="19"/>
    </row>
    <row r="92" spans="1:27" x14ac:dyDescent="0.25">
      <c r="A92" s="11"/>
      <c r="B92" s="12"/>
      <c r="C92" s="27"/>
      <c r="D92" s="27"/>
      <c r="E92" s="27"/>
      <c r="F92" s="27"/>
      <c r="G92" s="27"/>
      <c r="H92" s="34"/>
      <c r="I92" s="34"/>
      <c r="J92" s="27"/>
      <c r="K92" s="27"/>
      <c r="L92" s="27"/>
      <c r="M92" s="5"/>
      <c r="N92" s="27"/>
      <c r="O92" s="27"/>
      <c r="P92" s="5"/>
      <c r="Q92" s="31"/>
      <c r="R92" s="31"/>
      <c r="S92" s="23"/>
      <c r="T92" s="23"/>
      <c r="U92" s="13"/>
      <c r="V92" s="19"/>
      <c r="W92" s="19"/>
      <c r="X92" s="13"/>
      <c r="Y92" s="13"/>
      <c r="Z92" s="19"/>
      <c r="AA92" s="19"/>
    </row>
    <row r="93" spans="1:27" x14ac:dyDescent="0.25">
      <c r="A93" s="11"/>
      <c r="B93" s="12"/>
      <c r="C93" s="27"/>
      <c r="D93" s="27"/>
      <c r="E93" s="27"/>
      <c r="F93" s="27"/>
      <c r="G93" s="27"/>
      <c r="H93" s="34"/>
      <c r="I93" s="34"/>
      <c r="J93" s="27"/>
      <c r="K93" s="27"/>
      <c r="L93" s="27"/>
      <c r="M93" s="5"/>
      <c r="N93" s="27"/>
      <c r="O93" s="27"/>
      <c r="P93" s="5"/>
      <c r="Q93" s="31"/>
      <c r="R93" s="31"/>
      <c r="S93" s="23"/>
      <c r="T93" s="23"/>
      <c r="U93" s="13"/>
      <c r="V93" s="19"/>
      <c r="W93" s="19"/>
      <c r="X93" s="13"/>
      <c r="Y93" s="13"/>
      <c r="Z93" s="19"/>
      <c r="AA93" s="19"/>
    </row>
    <row r="94" spans="1:27" x14ac:dyDescent="0.25">
      <c r="A94" s="11"/>
      <c r="B94" s="12"/>
      <c r="C94" s="27"/>
      <c r="D94" s="27"/>
      <c r="E94" s="27"/>
      <c r="F94" s="27"/>
      <c r="G94" s="27"/>
      <c r="H94" s="34"/>
      <c r="I94" s="34"/>
      <c r="J94" s="27"/>
      <c r="K94" s="27"/>
      <c r="L94" s="27"/>
      <c r="M94" s="5"/>
      <c r="N94" s="27"/>
      <c r="O94" s="27"/>
      <c r="P94" s="5"/>
      <c r="Q94" s="31"/>
      <c r="R94" s="31"/>
      <c r="S94" s="23"/>
      <c r="T94" s="23"/>
      <c r="U94" s="13"/>
      <c r="V94" s="19"/>
      <c r="W94" s="19"/>
      <c r="X94" s="13"/>
      <c r="Y94" s="13"/>
      <c r="Z94" s="19"/>
      <c r="AA94" s="19"/>
    </row>
    <row r="95" spans="1:27" x14ac:dyDescent="0.25">
      <c r="A95" s="11"/>
      <c r="B95" s="12"/>
      <c r="C95" s="27"/>
      <c r="D95" s="27"/>
      <c r="E95" s="27"/>
      <c r="F95" s="27"/>
      <c r="G95" s="27"/>
      <c r="H95" s="34"/>
      <c r="I95" s="34"/>
      <c r="J95" s="27"/>
      <c r="K95" s="27"/>
      <c r="L95" s="27"/>
      <c r="M95" s="5"/>
      <c r="N95" s="27"/>
      <c r="O95" s="27"/>
      <c r="P95" s="5"/>
      <c r="Q95" s="31"/>
      <c r="R95" s="31"/>
      <c r="S95" s="23"/>
      <c r="T95" s="23"/>
      <c r="U95" s="13"/>
      <c r="V95" s="19"/>
      <c r="W95" s="19"/>
      <c r="X95" s="13"/>
      <c r="Y95" s="13"/>
      <c r="Z95" s="19"/>
      <c r="AA95" s="19"/>
    </row>
    <row r="96" spans="1:27" x14ac:dyDescent="0.25">
      <c r="A96" s="11"/>
      <c r="B96" s="12"/>
      <c r="C96" s="27"/>
      <c r="D96" s="27"/>
      <c r="E96" s="27"/>
      <c r="F96" s="27"/>
      <c r="G96" s="27"/>
      <c r="H96" s="34"/>
      <c r="I96" s="34"/>
      <c r="J96" s="27"/>
      <c r="K96" s="27"/>
      <c r="L96" s="27"/>
      <c r="M96" s="5"/>
      <c r="N96" s="27"/>
      <c r="O96" s="27"/>
      <c r="P96" s="5"/>
      <c r="Q96" s="31"/>
      <c r="R96" s="31"/>
      <c r="S96" s="23"/>
      <c r="T96" s="23"/>
      <c r="U96" s="13"/>
      <c r="V96" s="19"/>
      <c r="W96" s="19"/>
      <c r="X96" s="13"/>
      <c r="Y96" s="13"/>
      <c r="Z96" s="19"/>
      <c r="AA96" s="19"/>
    </row>
    <row r="97" spans="1:27" x14ac:dyDescent="0.25">
      <c r="A97" s="11"/>
      <c r="B97" s="12"/>
      <c r="C97" s="27"/>
      <c r="D97" s="27"/>
      <c r="E97" s="27"/>
      <c r="F97" s="27"/>
      <c r="G97" s="27"/>
      <c r="H97" s="34"/>
      <c r="I97" s="34"/>
      <c r="J97" s="27"/>
      <c r="K97" s="27"/>
      <c r="L97" s="27"/>
      <c r="M97" s="5"/>
      <c r="N97" s="27"/>
      <c r="O97" s="27"/>
      <c r="P97" s="5"/>
      <c r="Q97" s="31"/>
      <c r="R97" s="31"/>
      <c r="S97" s="23"/>
      <c r="T97" s="23"/>
      <c r="U97" s="13"/>
      <c r="V97" s="19"/>
      <c r="W97" s="19"/>
      <c r="X97" s="13"/>
      <c r="Y97" s="13"/>
      <c r="Z97" s="19"/>
      <c r="AA97" s="19"/>
    </row>
    <row r="98" spans="1:27" x14ac:dyDescent="0.25">
      <c r="A98" s="11"/>
      <c r="B98" s="12"/>
      <c r="C98" s="27"/>
      <c r="D98" s="27"/>
      <c r="E98" s="27"/>
      <c r="F98" s="27"/>
      <c r="G98" s="27"/>
      <c r="H98" s="34"/>
      <c r="I98" s="34"/>
      <c r="J98" s="27"/>
      <c r="K98" s="27"/>
      <c r="L98" s="27"/>
      <c r="M98" s="5"/>
      <c r="N98" s="27"/>
      <c r="O98" s="27"/>
      <c r="P98" s="5"/>
      <c r="Q98" s="31"/>
      <c r="R98" s="31"/>
      <c r="S98" s="23"/>
      <c r="T98" s="23"/>
      <c r="U98" s="13"/>
      <c r="V98" s="19"/>
      <c r="W98" s="19"/>
      <c r="X98" s="13"/>
      <c r="Y98" s="13"/>
      <c r="Z98" s="19"/>
      <c r="AA98" s="19"/>
    </row>
    <row r="99" spans="1:27" x14ac:dyDescent="0.25">
      <c r="A99" s="11"/>
      <c r="B99" s="12"/>
      <c r="C99" s="27"/>
      <c r="D99" s="27"/>
      <c r="E99" s="27"/>
      <c r="F99" s="27"/>
      <c r="G99" s="27"/>
      <c r="H99" s="34"/>
      <c r="I99" s="34"/>
      <c r="J99" s="27"/>
      <c r="K99" s="27"/>
      <c r="L99" s="27"/>
      <c r="M99" s="5"/>
      <c r="N99" s="27"/>
      <c r="O99" s="27"/>
      <c r="P99" s="5"/>
      <c r="Q99" s="31"/>
      <c r="R99" s="31"/>
      <c r="S99" s="23"/>
      <c r="T99" s="23"/>
      <c r="U99" s="13"/>
      <c r="V99" s="19"/>
      <c r="W99" s="19"/>
      <c r="X99" s="13"/>
      <c r="Y99" s="13"/>
      <c r="Z99" s="19"/>
      <c r="AA99" s="19"/>
    </row>
    <row r="100" spans="1:27" x14ac:dyDescent="0.25">
      <c r="A100" s="11"/>
      <c r="B100" s="12"/>
      <c r="C100" s="27"/>
      <c r="D100" s="27"/>
      <c r="E100" s="27"/>
      <c r="F100" s="27"/>
      <c r="G100" s="27"/>
      <c r="H100" s="34"/>
      <c r="I100" s="34"/>
      <c r="J100" s="27"/>
      <c r="K100" s="27"/>
      <c r="L100" s="27"/>
      <c r="M100" s="5"/>
      <c r="N100" s="27"/>
      <c r="O100" s="27"/>
      <c r="P100" s="5"/>
      <c r="Q100" s="31"/>
      <c r="R100" s="31"/>
      <c r="S100" s="23"/>
      <c r="T100" s="23"/>
      <c r="U100" s="13"/>
      <c r="V100" s="19"/>
      <c r="W100" s="19"/>
      <c r="X100" s="13"/>
      <c r="Y100" s="13"/>
      <c r="Z100" s="19"/>
      <c r="AA100" s="19"/>
    </row>
    <row r="101" spans="1:27" x14ac:dyDescent="0.25">
      <c r="A101" s="11"/>
      <c r="B101" s="12"/>
      <c r="C101" s="27"/>
      <c r="D101" s="27"/>
      <c r="E101" s="27"/>
      <c r="F101" s="27"/>
      <c r="G101" s="27"/>
      <c r="H101" s="34"/>
      <c r="I101" s="34"/>
      <c r="J101" s="27"/>
      <c r="K101" s="27"/>
      <c r="L101" s="27"/>
      <c r="M101" s="5"/>
      <c r="N101" s="27"/>
      <c r="O101" s="27"/>
      <c r="P101" s="5"/>
      <c r="Q101" s="31"/>
      <c r="R101" s="31"/>
      <c r="S101" s="23"/>
      <c r="T101" s="23"/>
      <c r="U101" s="13"/>
      <c r="V101" s="19"/>
      <c r="W101" s="19"/>
      <c r="X101" s="13"/>
      <c r="Y101" s="13"/>
      <c r="Z101" s="19"/>
      <c r="AA101" s="19"/>
    </row>
    <row r="102" spans="1:27" x14ac:dyDescent="0.25">
      <c r="A102" s="11"/>
      <c r="B102" s="12"/>
      <c r="C102" s="27"/>
      <c r="D102" s="27"/>
      <c r="E102" s="27"/>
      <c r="F102" s="27"/>
      <c r="G102" s="27"/>
      <c r="H102" s="34"/>
      <c r="I102" s="34"/>
      <c r="J102" s="27"/>
      <c r="K102" s="27"/>
      <c r="L102" s="27"/>
      <c r="M102" s="5"/>
      <c r="N102" s="27"/>
      <c r="O102" s="27"/>
      <c r="P102" s="5"/>
      <c r="Q102" s="31"/>
      <c r="R102" s="31"/>
      <c r="S102" s="23"/>
      <c r="T102" s="23"/>
      <c r="U102" s="13"/>
      <c r="V102" s="19"/>
      <c r="W102" s="19"/>
      <c r="X102" s="13"/>
      <c r="Y102" s="13"/>
      <c r="Z102" s="19"/>
      <c r="AA102" s="19"/>
    </row>
    <row r="103" spans="1:27" x14ac:dyDescent="0.25">
      <c r="A103" s="11"/>
      <c r="B103" s="12"/>
      <c r="C103" s="27"/>
      <c r="D103" s="27"/>
      <c r="E103" s="27"/>
      <c r="F103" s="27"/>
      <c r="G103" s="27"/>
      <c r="H103" s="34"/>
      <c r="I103" s="34"/>
      <c r="J103" s="27"/>
      <c r="K103" s="27"/>
      <c r="L103" s="27"/>
      <c r="M103" s="5"/>
      <c r="N103" s="27"/>
      <c r="O103" s="27"/>
      <c r="P103" s="5"/>
      <c r="Q103" s="31"/>
      <c r="R103" s="31"/>
      <c r="S103" s="23"/>
      <c r="T103" s="23"/>
      <c r="U103" s="13"/>
      <c r="V103" s="19"/>
      <c r="W103" s="19"/>
      <c r="X103" s="13"/>
      <c r="Y103" s="13"/>
      <c r="Z103" s="19"/>
      <c r="AA103" s="19"/>
    </row>
    <row r="104" spans="1:27" x14ac:dyDescent="0.25">
      <c r="A104" s="11"/>
      <c r="B104" s="12"/>
      <c r="C104" s="27"/>
      <c r="D104" s="27"/>
      <c r="E104" s="27"/>
      <c r="F104" s="27"/>
      <c r="G104" s="27"/>
      <c r="H104" s="34"/>
      <c r="I104" s="34"/>
      <c r="J104" s="27"/>
      <c r="K104" s="27"/>
      <c r="L104" s="27"/>
      <c r="M104" s="5"/>
      <c r="N104" s="27"/>
      <c r="O104" s="27"/>
      <c r="P104" s="5"/>
      <c r="Q104" s="31"/>
      <c r="R104" s="31"/>
      <c r="S104" s="23"/>
      <c r="T104" s="23"/>
      <c r="U104" s="13"/>
      <c r="V104" s="19"/>
      <c r="W104" s="19"/>
      <c r="X104" s="13"/>
      <c r="Y104" s="13"/>
      <c r="Z104" s="19"/>
      <c r="AA104" s="19"/>
    </row>
    <row r="105" spans="1:27" x14ac:dyDescent="0.25">
      <c r="A105" s="11"/>
      <c r="B105" s="12"/>
      <c r="C105" s="27"/>
      <c r="D105" s="27"/>
      <c r="E105" s="27"/>
      <c r="F105" s="27"/>
      <c r="G105" s="27"/>
      <c r="H105" s="34"/>
      <c r="I105" s="34"/>
      <c r="J105" s="27"/>
      <c r="K105" s="27"/>
      <c r="L105" s="27"/>
      <c r="M105" s="5"/>
      <c r="N105" s="27"/>
      <c r="O105" s="27"/>
      <c r="P105" s="5"/>
      <c r="Q105" s="31"/>
      <c r="R105" s="31"/>
      <c r="S105" s="23"/>
      <c r="T105" s="23"/>
      <c r="U105" s="13"/>
      <c r="V105" s="19"/>
      <c r="W105" s="19"/>
      <c r="X105" s="13"/>
      <c r="Y105" s="13"/>
      <c r="Z105" s="19"/>
      <c r="AA105" s="19"/>
    </row>
    <row r="106" spans="1:27" x14ac:dyDescent="0.25">
      <c r="A106" s="11"/>
      <c r="B106" s="12"/>
      <c r="C106" s="27"/>
      <c r="D106" s="27"/>
      <c r="E106" s="27"/>
      <c r="F106" s="27"/>
      <c r="G106" s="27"/>
      <c r="H106" s="34"/>
      <c r="I106" s="34"/>
      <c r="J106" s="27"/>
      <c r="K106" s="27"/>
      <c r="L106" s="27"/>
      <c r="M106" s="5"/>
      <c r="N106" s="27"/>
      <c r="O106" s="27"/>
      <c r="P106" s="5"/>
      <c r="Q106" s="31"/>
      <c r="R106" s="31"/>
      <c r="S106" s="23"/>
      <c r="T106" s="23"/>
      <c r="U106" s="13"/>
      <c r="V106" s="19"/>
      <c r="W106" s="19"/>
      <c r="X106" s="13"/>
      <c r="Y106" s="13"/>
      <c r="Z106" s="19"/>
      <c r="AA106" s="19"/>
    </row>
    <row r="107" spans="1:27" x14ac:dyDescent="0.25">
      <c r="A107" s="11"/>
      <c r="B107" s="12"/>
      <c r="C107" s="27"/>
      <c r="D107" s="27"/>
      <c r="E107" s="27"/>
      <c r="F107" s="27"/>
      <c r="G107" s="27"/>
      <c r="H107" s="34"/>
      <c r="I107" s="34"/>
      <c r="J107" s="27"/>
      <c r="K107" s="27"/>
      <c r="L107" s="27"/>
      <c r="M107" s="5"/>
      <c r="N107" s="27"/>
      <c r="O107" s="27"/>
      <c r="P107" s="5"/>
      <c r="Q107" s="31"/>
      <c r="R107" s="31"/>
      <c r="S107" s="23"/>
      <c r="T107" s="23"/>
      <c r="U107" s="13"/>
      <c r="V107" s="19"/>
      <c r="W107" s="19"/>
      <c r="X107" s="13"/>
      <c r="Y107" s="13"/>
      <c r="Z107" s="19"/>
      <c r="AA107" s="19"/>
    </row>
    <row r="108" spans="1:27" x14ac:dyDescent="0.25">
      <c r="A108" s="11"/>
      <c r="B108" s="12"/>
      <c r="C108" s="27"/>
      <c r="D108" s="27"/>
      <c r="E108" s="27"/>
      <c r="F108" s="27"/>
      <c r="G108" s="27"/>
      <c r="H108" s="34"/>
      <c r="I108" s="34"/>
      <c r="J108" s="27"/>
      <c r="K108" s="27"/>
      <c r="L108" s="27"/>
      <c r="M108" s="5"/>
      <c r="N108" s="27"/>
      <c r="O108" s="27"/>
      <c r="P108" s="5"/>
      <c r="Q108" s="31"/>
      <c r="R108" s="31"/>
      <c r="S108" s="23"/>
      <c r="T108" s="23"/>
      <c r="U108" s="13"/>
      <c r="V108" s="19"/>
      <c r="W108" s="19"/>
      <c r="X108" s="13"/>
      <c r="Y108" s="13"/>
      <c r="Z108" s="19"/>
      <c r="AA108" s="19"/>
    </row>
    <row r="109" spans="1:27" x14ac:dyDescent="0.25">
      <c r="A109" s="11"/>
      <c r="B109" s="12"/>
      <c r="C109" s="27"/>
      <c r="D109" s="27"/>
      <c r="E109" s="27"/>
      <c r="F109" s="27"/>
      <c r="G109" s="27"/>
      <c r="H109" s="34"/>
      <c r="I109" s="34"/>
      <c r="J109" s="27"/>
      <c r="K109" s="27"/>
      <c r="L109" s="27"/>
      <c r="M109" s="5"/>
      <c r="N109" s="27"/>
      <c r="O109" s="27"/>
      <c r="P109" s="5"/>
      <c r="Q109" s="31"/>
      <c r="R109" s="31"/>
      <c r="S109" s="23"/>
      <c r="T109" s="23"/>
      <c r="U109" s="13"/>
      <c r="V109" s="19"/>
      <c r="W109" s="19"/>
      <c r="X109" s="13"/>
      <c r="Y109" s="13"/>
      <c r="Z109" s="19"/>
      <c r="AA109" s="19"/>
    </row>
    <row r="110" spans="1:27" x14ac:dyDescent="0.25">
      <c r="A110" s="11"/>
      <c r="B110" s="12"/>
      <c r="C110" s="27"/>
      <c r="D110" s="27"/>
      <c r="E110" s="27"/>
      <c r="F110" s="27"/>
      <c r="G110" s="27"/>
      <c r="H110" s="34"/>
      <c r="I110" s="34"/>
      <c r="J110" s="27"/>
      <c r="K110" s="27"/>
      <c r="L110" s="27"/>
      <c r="M110" s="5"/>
      <c r="N110" s="27"/>
      <c r="O110" s="27"/>
      <c r="P110" s="5"/>
      <c r="Q110" s="31"/>
      <c r="R110" s="31"/>
      <c r="S110" s="23"/>
      <c r="T110" s="23"/>
      <c r="U110" s="13"/>
      <c r="V110" s="19"/>
      <c r="W110" s="19"/>
      <c r="X110" s="13"/>
      <c r="Y110" s="13"/>
      <c r="Z110" s="19"/>
      <c r="AA110" s="19"/>
    </row>
    <row r="111" spans="1:27" x14ac:dyDescent="0.25">
      <c r="A111" s="11"/>
      <c r="B111" s="12"/>
      <c r="C111" s="27"/>
      <c r="D111" s="27"/>
      <c r="E111" s="27"/>
      <c r="F111" s="27"/>
      <c r="G111" s="27"/>
      <c r="H111" s="34"/>
      <c r="I111" s="34"/>
      <c r="J111" s="27"/>
      <c r="K111" s="27"/>
      <c r="L111" s="27"/>
      <c r="M111" s="5"/>
      <c r="N111" s="27"/>
      <c r="O111" s="27"/>
      <c r="P111" s="5"/>
      <c r="Q111" s="31"/>
      <c r="R111" s="31"/>
      <c r="S111" s="23"/>
      <c r="T111" s="23"/>
      <c r="U111" s="13"/>
      <c r="V111" s="19"/>
      <c r="W111" s="19"/>
      <c r="X111" s="13"/>
      <c r="Y111" s="13"/>
      <c r="Z111" s="19"/>
      <c r="AA111" s="19"/>
    </row>
    <row r="112" spans="1:27" x14ac:dyDescent="0.25">
      <c r="A112" s="11"/>
      <c r="B112" s="12"/>
      <c r="C112" s="27"/>
      <c r="D112" s="27"/>
      <c r="E112" s="27"/>
      <c r="F112" s="27"/>
      <c r="G112" s="27"/>
      <c r="H112" s="34"/>
      <c r="I112" s="34"/>
      <c r="J112" s="27"/>
      <c r="K112" s="27"/>
      <c r="L112" s="27"/>
      <c r="M112" s="5"/>
      <c r="N112" s="27"/>
      <c r="O112" s="27"/>
      <c r="P112" s="5"/>
      <c r="Q112" s="31"/>
      <c r="R112" s="31"/>
      <c r="S112" s="23"/>
      <c r="T112" s="23"/>
      <c r="U112" s="13"/>
      <c r="V112" s="19"/>
      <c r="W112" s="19"/>
      <c r="X112" s="13"/>
      <c r="Y112" s="13"/>
      <c r="Z112" s="19"/>
      <c r="AA112" s="19"/>
    </row>
    <row r="113" spans="1:27" x14ac:dyDescent="0.25">
      <c r="A113" s="11"/>
      <c r="B113" s="12"/>
      <c r="C113" s="27"/>
      <c r="D113" s="27"/>
      <c r="E113" s="27"/>
      <c r="F113" s="27"/>
      <c r="G113" s="27"/>
      <c r="H113" s="34"/>
      <c r="I113" s="34"/>
      <c r="J113" s="27"/>
      <c r="K113" s="27"/>
      <c r="L113" s="27"/>
      <c r="M113" s="5"/>
      <c r="N113" s="27"/>
      <c r="O113" s="27"/>
      <c r="P113" s="5"/>
      <c r="Q113" s="31"/>
      <c r="R113" s="31"/>
      <c r="S113" s="23"/>
      <c r="T113" s="23"/>
      <c r="U113" s="13"/>
      <c r="V113" s="19"/>
      <c r="W113" s="19"/>
      <c r="X113" s="13"/>
      <c r="Y113" s="13"/>
      <c r="Z113" s="19"/>
      <c r="AA113" s="19"/>
    </row>
    <row r="114" spans="1:27" x14ac:dyDescent="0.25">
      <c r="A114" s="11"/>
      <c r="B114" s="12"/>
      <c r="C114" s="27"/>
      <c r="D114" s="27"/>
      <c r="E114" s="27"/>
      <c r="F114" s="27"/>
      <c r="G114" s="27"/>
      <c r="H114" s="34"/>
      <c r="I114" s="34"/>
      <c r="J114" s="27"/>
      <c r="K114" s="27"/>
      <c r="L114" s="27"/>
      <c r="M114" s="5"/>
      <c r="N114" s="27"/>
      <c r="O114" s="27"/>
      <c r="P114" s="5"/>
      <c r="Q114" s="31"/>
      <c r="R114" s="31"/>
      <c r="S114" s="23"/>
      <c r="T114" s="23"/>
      <c r="U114" s="13"/>
      <c r="V114" s="19"/>
      <c r="W114" s="19"/>
      <c r="X114" s="13"/>
      <c r="Y114" s="13"/>
      <c r="Z114" s="19"/>
      <c r="AA114" s="19"/>
    </row>
    <row r="115" spans="1:27" x14ac:dyDescent="0.25">
      <c r="A115" s="11"/>
      <c r="B115" s="12"/>
      <c r="C115" s="27"/>
      <c r="D115" s="27"/>
      <c r="E115" s="27"/>
      <c r="F115" s="27"/>
      <c r="G115" s="27"/>
      <c r="H115" s="34"/>
      <c r="I115" s="34"/>
      <c r="J115" s="27"/>
      <c r="K115" s="27"/>
      <c r="L115" s="27"/>
      <c r="M115" s="5"/>
      <c r="N115" s="27"/>
      <c r="O115" s="27"/>
      <c r="P115" s="5"/>
      <c r="Q115" s="31"/>
      <c r="R115" s="31"/>
      <c r="S115" s="23"/>
      <c r="T115" s="23"/>
      <c r="U115" s="13"/>
      <c r="V115" s="19"/>
      <c r="W115" s="19"/>
      <c r="X115" s="13"/>
      <c r="Y115" s="13"/>
      <c r="Z115" s="19"/>
      <c r="AA115" s="19"/>
    </row>
    <row r="116" spans="1:27" x14ac:dyDescent="0.25">
      <c r="A116" s="11"/>
      <c r="B116" s="12"/>
      <c r="C116" s="27"/>
      <c r="D116" s="27"/>
      <c r="E116" s="27"/>
      <c r="F116" s="27"/>
      <c r="G116" s="27"/>
      <c r="H116" s="34"/>
      <c r="I116" s="34"/>
      <c r="J116" s="27"/>
      <c r="K116" s="27"/>
      <c r="L116" s="27"/>
      <c r="M116" s="5"/>
      <c r="N116" s="27"/>
      <c r="O116" s="27"/>
      <c r="P116" s="5"/>
      <c r="Q116" s="31"/>
      <c r="R116" s="31"/>
      <c r="S116" s="23"/>
      <c r="T116" s="23"/>
      <c r="U116" s="13"/>
      <c r="V116" s="19"/>
      <c r="W116" s="19"/>
      <c r="X116" s="13"/>
      <c r="Y116" s="13"/>
      <c r="Z116" s="19"/>
      <c r="AA116" s="19"/>
    </row>
    <row r="117" spans="1:27" x14ac:dyDescent="0.25">
      <c r="A117" s="11"/>
      <c r="B117" s="12"/>
      <c r="C117" s="27"/>
      <c r="D117" s="27"/>
      <c r="E117" s="27"/>
      <c r="F117" s="27"/>
      <c r="G117" s="27"/>
      <c r="H117" s="34"/>
      <c r="I117" s="34"/>
      <c r="J117" s="27"/>
      <c r="K117" s="27"/>
      <c r="L117" s="27"/>
      <c r="M117" s="5"/>
      <c r="N117" s="27"/>
      <c r="O117" s="27"/>
      <c r="P117" s="5"/>
      <c r="Q117" s="31"/>
      <c r="R117" s="31"/>
      <c r="S117" s="23"/>
      <c r="T117" s="23"/>
      <c r="U117" s="13"/>
      <c r="V117" s="19"/>
      <c r="W117" s="19"/>
      <c r="X117" s="13"/>
      <c r="Y117" s="13"/>
      <c r="Z117" s="19"/>
      <c r="AA117" s="19"/>
    </row>
    <row r="118" spans="1:27" x14ac:dyDescent="0.25">
      <c r="A118" s="11"/>
      <c r="B118" s="12"/>
      <c r="C118" s="27"/>
      <c r="D118" s="27"/>
      <c r="E118" s="27"/>
      <c r="F118" s="27"/>
      <c r="G118" s="27"/>
      <c r="H118" s="34"/>
      <c r="I118" s="34"/>
      <c r="J118" s="27"/>
      <c r="K118" s="27"/>
      <c r="L118" s="27"/>
      <c r="M118" s="5"/>
      <c r="N118" s="27"/>
      <c r="O118" s="27"/>
      <c r="P118" s="5"/>
      <c r="Q118" s="31"/>
      <c r="R118" s="31"/>
      <c r="S118" s="23"/>
      <c r="T118" s="23"/>
      <c r="U118" s="13"/>
      <c r="V118" s="19"/>
      <c r="W118" s="19"/>
      <c r="X118" s="13"/>
      <c r="Y118" s="13"/>
      <c r="Z118" s="19"/>
      <c r="AA118" s="19"/>
    </row>
    <row r="119" spans="1:27" x14ac:dyDescent="0.25">
      <c r="A119" s="11"/>
      <c r="B119" s="12"/>
      <c r="C119" s="27"/>
      <c r="D119" s="27"/>
      <c r="E119" s="27"/>
      <c r="F119" s="27"/>
      <c r="G119" s="27"/>
      <c r="H119" s="34"/>
      <c r="I119" s="34"/>
      <c r="J119" s="27"/>
      <c r="K119" s="27"/>
      <c r="L119" s="27"/>
      <c r="M119" s="5"/>
      <c r="N119" s="27"/>
      <c r="O119" s="27"/>
      <c r="P119" s="5"/>
      <c r="Q119" s="31"/>
      <c r="R119" s="31"/>
      <c r="S119" s="23"/>
      <c r="T119" s="23"/>
      <c r="U119" s="13"/>
      <c r="V119" s="19"/>
      <c r="W119" s="19"/>
      <c r="X119" s="13"/>
      <c r="Y119" s="13"/>
      <c r="Z119" s="19"/>
      <c r="AA119" s="19"/>
    </row>
    <row r="120" spans="1:27" x14ac:dyDescent="0.25">
      <c r="A120" s="11"/>
      <c r="B120" s="12"/>
      <c r="C120" s="27"/>
      <c r="D120" s="27"/>
      <c r="E120" s="27"/>
      <c r="F120" s="27"/>
      <c r="G120" s="27"/>
      <c r="H120" s="34"/>
      <c r="I120" s="34"/>
      <c r="J120" s="27"/>
      <c r="K120" s="27"/>
      <c r="L120" s="27"/>
      <c r="M120" s="5"/>
      <c r="N120" s="27"/>
      <c r="O120" s="27"/>
      <c r="P120" s="5"/>
      <c r="Q120" s="31"/>
      <c r="R120" s="31"/>
      <c r="S120" s="23"/>
      <c r="T120" s="23"/>
      <c r="U120" s="13"/>
      <c r="V120" s="19"/>
      <c r="W120" s="19"/>
      <c r="X120" s="13"/>
      <c r="Y120" s="13"/>
      <c r="Z120" s="19"/>
      <c r="AA120" s="19"/>
    </row>
    <row r="121" spans="1:27" x14ac:dyDescent="0.25">
      <c r="A121" s="11"/>
      <c r="B121" s="12"/>
      <c r="C121" s="27"/>
      <c r="D121" s="27"/>
      <c r="E121" s="27"/>
      <c r="F121" s="27"/>
      <c r="G121" s="27"/>
      <c r="H121" s="34"/>
      <c r="I121" s="34"/>
      <c r="J121" s="27"/>
      <c r="K121" s="27"/>
      <c r="L121" s="27"/>
      <c r="M121" s="5"/>
      <c r="N121" s="27"/>
      <c r="O121" s="27"/>
      <c r="P121" s="5"/>
      <c r="Q121" s="31"/>
      <c r="R121" s="31"/>
      <c r="S121" s="23"/>
      <c r="T121" s="23"/>
      <c r="U121" s="13"/>
      <c r="V121" s="19"/>
      <c r="W121" s="19"/>
      <c r="X121" s="13"/>
      <c r="Y121" s="13"/>
      <c r="Z121" s="19"/>
      <c r="AA121" s="19"/>
    </row>
    <row r="122" spans="1:27" x14ac:dyDescent="0.25">
      <c r="A122" s="11"/>
      <c r="B122" s="12"/>
      <c r="C122" s="27"/>
      <c r="D122" s="27"/>
      <c r="E122" s="27"/>
      <c r="F122" s="27"/>
      <c r="G122" s="27"/>
      <c r="H122" s="34"/>
      <c r="I122" s="34"/>
      <c r="J122" s="27"/>
      <c r="K122" s="27"/>
      <c r="L122" s="27"/>
      <c r="M122" s="5"/>
      <c r="N122" s="27"/>
      <c r="O122" s="27"/>
      <c r="P122" s="5"/>
      <c r="Q122" s="31"/>
      <c r="R122" s="31"/>
      <c r="S122" s="23"/>
      <c r="T122" s="23"/>
      <c r="U122" s="13"/>
      <c r="V122" s="19"/>
      <c r="W122" s="19"/>
      <c r="X122" s="13"/>
      <c r="Y122" s="13"/>
      <c r="Z122" s="19"/>
      <c r="AA122" s="19"/>
    </row>
    <row r="123" spans="1:27" x14ac:dyDescent="0.25">
      <c r="A123" s="11"/>
      <c r="B123" s="12"/>
      <c r="C123" s="27"/>
      <c r="D123" s="27"/>
      <c r="E123" s="27"/>
      <c r="F123" s="27"/>
      <c r="G123" s="27"/>
      <c r="H123" s="34"/>
      <c r="I123" s="34"/>
      <c r="J123" s="27"/>
      <c r="K123" s="27"/>
      <c r="L123" s="27"/>
      <c r="M123" s="5"/>
      <c r="N123" s="27"/>
      <c r="O123" s="27"/>
      <c r="P123" s="5"/>
      <c r="Q123" s="31"/>
      <c r="R123" s="31"/>
      <c r="S123" s="23"/>
      <c r="T123" s="23"/>
      <c r="U123" s="13"/>
      <c r="V123" s="19"/>
      <c r="W123" s="19"/>
      <c r="X123" s="13"/>
      <c r="Y123" s="13"/>
      <c r="Z123" s="19"/>
      <c r="AA123" s="19"/>
    </row>
    <row r="124" spans="1:27" x14ac:dyDescent="0.25">
      <c r="A124" s="11"/>
      <c r="B124" s="12"/>
      <c r="C124" s="27"/>
      <c r="D124" s="27"/>
      <c r="E124" s="27"/>
      <c r="F124" s="27"/>
      <c r="G124" s="27"/>
      <c r="H124" s="34"/>
      <c r="I124" s="34"/>
      <c r="J124" s="27"/>
      <c r="K124" s="27"/>
      <c r="L124" s="27"/>
      <c r="M124" s="5"/>
      <c r="N124" s="27"/>
      <c r="O124" s="27"/>
      <c r="P124" s="5"/>
      <c r="Q124" s="31"/>
      <c r="R124" s="31"/>
      <c r="S124" s="23"/>
      <c r="T124" s="23"/>
      <c r="U124" s="13"/>
      <c r="V124" s="19"/>
      <c r="W124" s="19"/>
      <c r="X124" s="13"/>
      <c r="Y124" s="13"/>
      <c r="Z124" s="19"/>
      <c r="AA124" s="19"/>
    </row>
    <row r="125" spans="1:27" x14ac:dyDescent="0.25">
      <c r="A125" s="11"/>
      <c r="B125" s="12"/>
      <c r="C125" s="27"/>
      <c r="D125" s="27"/>
      <c r="E125" s="27"/>
      <c r="F125" s="27"/>
      <c r="G125" s="27"/>
      <c r="H125" s="34"/>
      <c r="I125" s="34"/>
      <c r="J125" s="27"/>
      <c r="K125" s="27"/>
      <c r="L125" s="27"/>
      <c r="M125" s="5"/>
      <c r="N125" s="27"/>
      <c r="O125" s="27"/>
      <c r="P125" s="5"/>
      <c r="Q125" s="31"/>
      <c r="R125" s="31"/>
      <c r="S125" s="23"/>
      <c r="T125" s="23"/>
      <c r="U125" s="13"/>
      <c r="V125" s="19"/>
      <c r="W125" s="19"/>
      <c r="X125" s="13"/>
      <c r="Y125" s="13"/>
      <c r="Z125" s="19"/>
      <c r="AA125" s="19"/>
    </row>
    <row r="126" spans="1:27" x14ac:dyDescent="0.25">
      <c r="A126" s="11"/>
      <c r="B126" s="12"/>
      <c r="C126" s="27"/>
      <c r="D126" s="27"/>
      <c r="E126" s="27"/>
      <c r="F126" s="27"/>
      <c r="G126" s="27"/>
      <c r="H126" s="34"/>
      <c r="I126" s="34"/>
      <c r="J126" s="27"/>
      <c r="K126" s="27"/>
      <c r="L126" s="27"/>
      <c r="M126" s="5"/>
      <c r="N126" s="27"/>
      <c r="O126" s="27"/>
      <c r="P126" s="5"/>
      <c r="Q126" s="31"/>
      <c r="R126" s="31"/>
      <c r="S126" s="23"/>
      <c r="T126" s="23"/>
      <c r="U126" s="13"/>
      <c r="V126" s="19"/>
      <c r="W126" s="19"/>
      <c r="X126" s="13"/>
      <c r="Y126" s="13"/>
      <c r="Z126" s="19"/>
      <c r="AA126" s="19"/>
    </row>
    <row r="127" spans="1:27" x14ac:dyDescent="0.25">
      <c r="A127" s="11"/>
      <c r="B127" s="12"/>
      <c r="C127" s="27"/>
      <c r="D127" s="27"/>
      <c r="E127" s="27"/>
      <c r="F127" s="27"/>
      <c r="G127" s="27"/>
      <c r="H127" s="34"/>
      <c r="I127" s="34"/>
      <c r="J127" s="27"/>
      <c r="K127" s="27"/>
      <c r="L127" s="27"/>
      <c r="M127" s="5"/>
      <c r="N127" s="27"/>
      <c r="O127" s="27"/>
      <c r="P127" s="5"/>
      <c r="Q127" s="31"/>
      <c r="R127" s="31"/>
      <c r="S127" s="23"/>
      <c r="T127" s="23"/>
      <c r="U127" s="13"/>
      <c r="V127" s="19"/>
      <c r="W127" s="19"/>
      <c r="X127" s="13"/>
      <c r="Y127" s="13"/>
      <c r="Z127" s="19"/>
      <c r="AA127" s="19"/>
    </row>
    <row r="128" spans="1:27" x14ac:dyDescent="0.25">
      <c r="A128" s="11"/>
      <c r="B128" s="12"/>
      <c r="C128" s="27"/>
      <c r="D128" s="27"/>
      <c r="E128" s="27"/>
      <c r="F128" s="27"/>
      <c r="G128" s="27"/>
      <c r="H128" s="34"/>
      <c r="I128" s="34"/>
      <c r="J128" s="27"/>
      <c r="K128" s="27"/>
      <c r="L128" s="27"/>
      <c r="M128" s="5"/>
      <c r="N128" s="27"/>
      <c r="O128" s="27"/>
      <c r="P128" s="5"/>
      <c r="Q128" s="31"/>
      <c r="R128" s="31"/>
      <c r="S128" s="23"/>
      <c r="T128" s="23"/>
      <c r="U128" s="13"/>
      <c r="V128" s="19"/>
      <c r="W128" s="19"/>
      <c r="X128" s="13"/>
      <c r="Y128" s="13"/>
      <c r="Z128" s="19"/>
      <c r="AA128" s="19"/>
    </row>
    <row r="129" spans="1:27" x14ac:dyDescent="0.25">
      <c r="A129" s="11"/>
      <c r="B129" s="12"/>
      <c r="C129" s="27"/>
      <c r="D129" s="27"/>
      <c r="E129" s="27"/>
      <c r="F129" s="27"/>
      <c r="G129" s="27"/>
      <c r="H129" s="34"/>
      <c r="I129" s="34"/>
      <c r="J129" s="27"/>
      <c r="K129" s="27"/>
      <c r="L129" s="27"/>
      <c r="M129" s="5"/>
      <c r="N129" s="27"/>
      <c r="O129" s="27"/>
      <c r="P129" s="5"/>
      <c r="Q129" s="31"/>
      <c r="R129" s="31"/>
      <c r="S129" s="23"/>
      <c r="T129" s="23"/>
      <c r="U129" s="13"/>
      <c r="V129" s="19"/>
      <c r="W129" s="19"/>
      <c r="X129" s="13"/>
      <c r="Y129" s="13"/>
      <c r="Z129" s="19"/>
      <c r="AA129" s="19"/>
    </row>
    <row r="130" spans="1:27" x14ac:dyDescent="0.25">
      <c r="A130" s="11"/>
      <c r="B130" s="12"/>
      <c r="C130" s="27"/>
      <c r="D130" s="27"/>
      <c r="E130" s="27"/>
      <c r="F130" s="27"/>
      <c r="G130" s="27"/>
      <c r="H130" s="34"/>
      <c r="I130" s="34"/>
      <c r="J130" s="27"/>
      <c r="K130" s="27"/>
      <c r="L130" s="27"/>
      <c r="M130" s="5"/>
      <c r="N130" s="27"/>
      <c r="O130" s="27"/>
      <c r="P130" s="5"/>
      <c r="Q130" s="31"/>
      <c r="R130" s="31"/>
      <c r="S130" s="23"/>
      <c r="T130" s="23"/>
      <c r="U130" s="13"/>
      <c r="V130" s="19"/>
      <c r="W130" s="19"/>
      <c r="X130" s="13"/>
      <c r="Y130" s="13"/>
      <c r="Z130" s="19"/>
      <c r="AA130" s="19"/>
    </row>
    <row r="131" spans="1:27" x14ac:dyDescent="0.25">
      <c r="A131" s="11"/>
      <c r="B131" s="12"/>
      <c r="C131" s="27"/>
      <c r="D131" s="27"/>
      <c r="E131" s="27"/>
      <c r="F131" s="27"/>
      <c r="G131" s="27"/>
      <c r="H131" s="34"/>
      <c r="I131" s="34"/>
      <c r="J131" s="27"/>
      <c r="K131" s="27"/>
      <c r="L131" s="27"/>
      <c r="M131" s="5"/>
      <c r="N131" s="27"/>
      <c r="O131" s="27"/>
      <c r="P131" s="5"/>
      <c r="Q131" s="31"/>
      <c r="R131" s="31"/>
      <c r="S131" s="23"/>
      <c r="T131" s="23"/>
      <c r="U131" s="13"/>
      <c r="V131" s="19"/>
      <c r="W131" s="19"/>
      <c r="X131" s="13"/>
      <c r="Y131" s="13"/>
      <c r="Z131" s="19"/>
      <c r="AA131" s="19"/>
    </row>
    <row r="132" spans="1:27" x14ac:dyDescent="0.25">
      <c r="A132" s="11"/>
      <c r="B132" s="12"/>
      <c r="C132" s="27"/>
      <c r="D132" s="27"/>
      <c r="E132" s="27"/>
      <c r="F132" s="27"/>
      <c r="G132" s="27"/>
      <c r="H132" s="34"/>
      <c r="I132" s="34"/>
      <c r="J132" s="27"/>
      <c r="K132" s="27"/>
      <c r="L132" s="27"/>
      <c r="M132" s="5"/>
      <c r="N132" s="27"/>
      <c r="O132" s="27"/>
      <c r="P132" s="5"/>
      <c r="Q132" s="31"/>
      <c r="R132" s="31"/>
      <c r="S132" s="23"/>
      <c r="T132" s="23"/>
      <c r="U132" s="13"/>
      <c r="V132" s="19"/>
      <c r="W132" s="19"/>
      <c r="X132" s="13"/>
      <c r="Y132" s="13"/>
      <c r="Z132" s="19"/>
      <c r="AA132" s="19"/>
    </row>
    <row r="133" spans="1:27" x14ac:dyDescent="0.25">
      <c r="A133" s="11"/>
      <c r="B133" s="12"/>
      <c r="C133" s="27"/>
      <c r="D133" s="27"/>
      <c r="E133" s="27"/>
      <c r="F133" s="27"/>
      <c r="G133" s="27"/>
      <c r="H133" s="34"/>
      <c r="I133" s="34"/>
      <c r="J133" s="27"/>
      <c r="K133" s="27"/>
      <c r="L133" s="27"/>
      <c r="M133" s="5"/>
      <c r="N133" s="27"/>
      <c r="O133" s="27"/>
      <c r="P133" s="5"/>
      <c r="Q133" s="31"/>
      <c r="R133" s="31"/>
      <c r="S133" s="23"/>
      <c r="T133" s="23"/>
      <c r="U133" s="13"/>
      <c r="V133" s="19"/>
      <c r="W133" s="19"/>
      <c r="X133" s="13"/>
      <c r="Y133" s="13"/>
      <c r="Z133" s="19"/>
      <c r="AA133" s="19"/>
    </row>
    <row r="134" spans="1:27" x14ac:dyDescent="0.25">
      <c r="A134" s="11"/>
      <c r="B134" s="12"/>
      <c r="C134" s="27"/>
      <c r="D134" s="27"/>
      <c r="E134" s="27"/>
      <c r="F134" s="27"/>
      <c r="G134" s="27"/>
      <c r="H134" s="34"/>
      <c r="I134" s="34"/>
      <c r="J134" s="27"/>
      <c r="K134" s="27"/>
      <c r="L134" s="27"/>
      <c r="M134" s="5"/>
      <c r="N134" s="27"/>
      <c r="O134" s="27"/>
      <c r="P134" s="5"/>
      <c r="Q134" s="31"/>
      <c r="R134" s="31"/>
      <c r="S134" s="23"/>
      <c r="T134" s="23"/>
      <c r="U134" s="13"/>
      <c r="V134" s="19"/>
      <c r="W134" s="19"/>
      <c r="X134" s="13"/>
      <c r="Y134" s="13"/>
      <c r="Z134" s="19"/>
      <c r="AA134" s="19"/>
    </row>
    <row r="135" spans="1:27" x14ac:dyDescent="0.25">
      <c r="A135" s="11"/>
      <c r="B135" s="12"/>
      <c r="C135" s="27"/>
      <c r="D135" s="27"/>
      <c r="E135" s="27"/>
      <c r="F135" s="27"/>
      <c r="G135" s="27"/>
      <c r="H135" s="34"/>
      <c r="I135" s="34"/>
      <c r="J135" s="27"/>
      <c r="K135" s="27"/>
      <c r="L135" s="27"/>
      <c r="M135" s="5"/>
      <c r="N135" s="27"/>
      <c r="O135" s="27"/>
      <c r="P135" s="5"/>
      <c r="Q135" s="31"/>
      <c r="R135" s="31"/>
      <c r="S135" s="23"/>
      <c r="T135" s="23"/>
      <c r="U135" s="13"/>
      <c r="V135" s="19"/>
      <c r="W135" s="19"/>
      <c r="X135" s="13"/>
      <c r="Y135" s="13"/>
      <c r="Z135" s="19"/>
      <c r="AA135" s="19"/>
    </row>
    <row r="136" spans="1:27" x14ac:dyDescent="0.25">
      <c r="A136" s="11"/>
      <c r="B136" s="12"/>
      <c r="C136" s="27"/>
      <c r="D136" s="27"/>
      <c r="E136" s="27"/>
      <c r="F136" s="27"/>
      <c r="G136" s="27"/>
      <c r="H136" s="34"/>
      <c r="I136" s="34"/>
      <c r="J136" s="27"/>
      <c r="K136" s="27"/>
      <c r="L136" s="27"/>
      <c r="M136" s="5"/>
      <c r="N136" s="27"/>
      <c r="O136" s="27"/>
      <c r="P136" s="5"/>
      <c r="Q136" s="31"/>
      <c r="R136" s="31"/>
      <c r="S136" s="23"/>
      <c r="T136" s="23"/>
      <c r="U136" s="13"/>
      <c r="V136" s="19"/>
      <c r="W136" s="19"/>
      <c r="X136" s="13"/>
      <c r="Y136" s="13"/>
      <c r="Z136" s="19"/>
      <c r="AA136" s="19"/>
    </row>
    <row r="137" spans="1:27" x14ac:dyDescent="0.25">
      <c r="A137" s="11"/>
      <c r="B137" s="12"/>
      <c r="C137" s="27"/>
      <c r="D137" s="27"/>
      <c r="E137" s="27"/>
      <c r="F137" s="27"/>
      <c r="G137" s="27"/>
      <c r="H137" s="34"/>
      <c r="I137" s="34"/>
      <c r="J137" s="27"/>
      <c r="K137" s="27"/>
      <c r="L137" s="27"/>
      <c r="M137" s="5"/>
      <c r="N137" s="27"/>
      <c r="O137" s="27"/>
      <c r="P137" s="5"/>
      <c r="Q137" s="31"/>
      <c r="R137" s="31"/>
      <c r="S137" s="23"/>
      <c r="T137" s="23"/>
      <c r="U137" s="13"/>
      <c r="V137" s="19"/>
      <c r="W137" s="19"/>
      <c r="X137" s="13"/>
      <c r="Y137" s="13"/>
      <c r="Z137" s="19"/>
      <c r="AA137" s="19"/>
    </row>
    <row r="138" spans="1:27" x14ac:dyDescent="0.25">
      <c r="A138" s="11"/>
      <c r="B138" s="12"/>
      <c r="C138" s="27"/>
      <c r="D138" s="27"/>
      <c r="E138" s="27"/>
      <c r="F138" s="27"/>
      <c r="G138" s="27"/>
      <c r="H138" s="34"/>
      <c r="I138" s="34"/>
      <c r="J138" s="27"/>
      <c r="K138" s="27"/>
      <c r="L138" s="27"/>
      <c r="M138" s="5"/>
      <c r="N138" s="27"/>
      <c r="O138" s="27"/>
      <c r="P138" s="5"/>
      <c r="Q138" s="31"/>
      <c r="R138" s="31"/>
      <c r="S138" s="23"/>
      <c r="T138" s="23"/>
      <c r="U138" s="13"/>
      <c r="V138" s="19"/>
      <c r="W138" s="19"/>
      <c r="X138" s="13"/>
      <c r="Y138" s="13"/>
      <c r="Z138" s="19"/>
      <c r="AA138" s="19"/>
    </row>
    <row r="139" spans="1:27" x14ac:dyDescent="0.25">
      <c r="A139" s="11"/>
      <c r="B139" s="12"/>
      <c r="C139" s="27"/>
      <c r="D139" s="27"/>
      <c r="E139" s="27"/>
      <c r="F139" s="27"/>
      <c r="G139" s="27"/>
      <c r="H139" s="34"/>
      <c r="I139" s="34"/>
      <c r="J139" s="27"/>
      <c r="K139" s="27"/>
      <c r="L139" s="27"/>
      <c r="M139" s="5"/>
      <c r="N139" s="27"/>
      <c r="O139" s="27"/>
      <c r="P139" s="5"/>
      <c r="Q139" s="31"/>
      <c r="R139" s="31"/>
      <c r="S139" s="23"/>
      <c r="T139" s="23"/>
      <c r="U139" s="13"/>
      <c r="V139" s="19"/>
      <c r="W139" s="19"/>
      <c r="X139" s="13"/>
      <c r="Y139" s="13"/>
      <c r="Z139" s="19"/>
      <c r="AA139" s="19"/>
    </row>
    <row r="140" spans="1:27" x14ac:dyDescent="0.25">
      <c r="A140" s="11"/>
      <c r="B140" s="12"/>
      <c r="C140" s="27"/>
      <c r="D140" s="27"/>
      <c r="E140" s="27"/>
      <c r="F140" s="27"/>
      <c r="G140" s="27"/>
      <c r="H140" s="34"/>
      <c r="I140" s="34"/>
      <c r="J140" s="27"/>
      <c r="K140" s="27"/>
      <c r="L140" s="27"/>
      <c r="M140" s="5"/>
      <c r="N140" s="27"/>
      <c r="O140" s="27"/>
      <c r="P140" s="5"/>
      <c r="Q140" s="31"/>
      <c r="R140" s="31"/>
      <c r="S140" s="23"/>
      <c r="T140" s="23"/>
      <c r="U140" s="13"/>
      <c r="V140" s="19"/>
      <c r="W140" s="19"/>
      <c r="X140" s="13"/>
      <c r="Y140" s="13"/>
      <c r="Z140" s="19"/>
      <c r="AA140" s="19"/>
    </row>
    <row r="141" spans="1:27" x14ac:dyDescent="0.25">
      <c r="A141" s="11"/>
      <c r="B141" s="12"/>
      <c r="C141" s="27"/>
      <c r="D141" s="27"/>
      <c r="E141" s="27"/>
      <c r="F141" s="27"/>
      <c r="G141" s="27"/>
      <c r="H141" s="34"/>
      <c r="I141" s="34"/>
      <c r="J141" s="27"/>
      <c r="K141" s="27"/>
      <c r="L141" s="27"/>
      <c r="M141" s="5"/>
      <c r="N141" s="27"/>
      <c r="O141" s="27"/>
      <c r="P141" s="5"/>
      <c r="Q141" s="31"/>
      <c r="R141" s="31"/>
      <c r="S141" s="23"/>
      <c r="T141" s="23"/>
      <c r="U141" s="13"/>
      <c r="V141" s="19"/>
      <c r="W141" s="19"/>
      <c r="X141" s="13"/>
      <c r="Y141" s="13"/>
      <c r="Z141" s="19"/>
      <c r="AA141" s="19"/>
    </row>
    <row r="142" spans="1:27" x14ac:dyDescent="0.25">
      <c r="A142" s="11"/>
      <c r="B142" s="12"/>
      <c r="C142" s="27"/>
      <c r="D142" s="27"/>
      <c r="E142" s="27"/>
      <c r="F142" s="27"/>
      <c r="G142" s="27"/>
      <c r="H142" s="34"/>
      <c r="I142" s="34"/>
      <c r="J142" s="27"/>
      <c r="K142" s="27"/>
      <c r="L142" s="27"/>
      <c r="M142" s="5"/>
      <c r="N142" s="27"/>
      <c r="O142" s="27"/>
      <c r="P142" s="5"/>
      <c r="Q142" s="31"/>
      <c r="R142" s="31"/>
      <c r="S142" s="23"/>
      <c r="T142" s="23"/>
      <c r="U142" s="13"/>
      <c r="V142" s="19"/>
      <c r="W142" s="19"/>
      <c r="X142" s="13"/>
      <c r="Y142" s="13"/>
      <c r="Z142" s="19"/>
      <c r="AA142" s="19"/>
    </row>
    <row r="143" spans="1:27" x14ac:dyDescent="0.25">
      <c r="A143" s="11"/>
      <c r="B143" s="12"/>
      <c r="C143" s="27"/>
      <c r="D143" s="27"/>
      <c r="E143" s="27"/>
      <c r="F143" s="27"/>
      <c r="G143" s="27"/>
      <c r="H143" s="34"/>
      <c r="I143" s="34"/>
      <c r="J143" s="27"/>
      <c r="K143" s="27"/>
      <c r="L143" s="27"/>
      <c r="M143" s="5"/>
      <c r="N143" s="27"/>
      <c r="O143" s="27"/>
      <c r="P143" s="5"/>
      <c r="Q143" s="31"/>
      <c r="R143" s="31"/>
      <c r="S143" s="23"/>
      <c r="T143" s="23"/>
      <c r="U143" s="13"/>
      <c r="V143" s="19"/>
      <c r="W143" s="19"/>
      <c r="X143" s="13"/>
      <c r="Y143" s="13"/>
      <c r="Z143" s="19"/>
      <c r="AA143" s="19"/>
    </row>
    <row r="144" spans="1:27" x14ac:dyDescent="0.25">
      <c r="A144" s="11"/>
      <c r="B144" s="12"/>
      <c r="C144" s="27"/>
      <c r="D144" s="27"/>
      <c r="E144" s="27"/>
      <c r="F144" s="27"/>
      <c r="G144" s="27"/>
      <c r="H144" s="34"/>
      <c r="I144" s="34"/>
      <c r="J144" s="27"/>
      <c r="K144" s="27"/>
      <c r="L144" s="27"/>
      <c r="M144" s="5"/>
      <c r="N144" s="27"/>
      <c r="O144" s="27"/>
      <c r="P144" s="5"/>
      <c r="Q144" s="31"/>
      <c r="R144" s="31"/>
      <c r="S144" s="23"/>
      <c r="T144" s="23"/>
      <c r="U144" s="13"/>
      <c r="V144" s="19"/>
      <c r="W144" s="19"/>
      <c r="X144" s="13"/>
      <c r="Y144" s="13"/>
      <c r="Z144" s="19"/>
      <c r="AA144" s="19"/>
    </row>
    <row r="145" spans="1:27" x14ac:dyDescent="0.25">
      <c r="A145" s="11"/>
      <c r="B145" s="12"/>
      <c r="C145" s="27"/>
      <c r="D145" s="27"/>
      <c r="E145" s="27"/>
      <c r="F145" s="27"/>
      <c r="G145" s="27"/>
      <c r="H145" s="34"/>
      <c r="I145" s="34"/>
      <c r="J145" s="27"/>
      <c r="K145" s="27"/>
      <c r="L145" s="27"/>
      <c r="M145" s="5"/>
      <c r="N145" s="27"/>
      <c r="O145" s="27"/>
      <c r="P145" s="5"/>
      <c r="Q145" s="31"/>
      <c r="R145" s="31"/>
      <c r="S145" s="23"/>
      <c r="T145" s="23"/>
      <c r="U145" s="13"/>
      <c r="V145" s="19"/>
      <c r="W145" s="19"/>
      <c r="X145" s="13"/>
      <c r="Y145" s="13"/>
      <c r="Z145" s="19"/>
      <c r="AA145" s="19"/>
    </row>
    <row r="146" spans="1:27" x14ac:dyDescent="0.25">
      <c r="A146" s="11"/>
      <c r="B146" s="12"/>
      <c r="C146" s="27"/>
      <c r="D146" s="27"/>
      <c r="E146" s="27"/>
      <c r="F146" s="27"/>
      <c r="G146" s="27"/>
      <c r="H146" s="34"/>
      <c r="I146" s="34"/>
      <c r="J146" s="27"/>
      <c r="K146" s="27"/>
      <c r="L146" s="27"/>
      <c r="M146" s="5"/>
      <c r="N146" s="27"/>
      <c r="O146" s="27"/>
      <c r="P146" s="5"/>
      <c r="Q146" s="31"/>
      <c r="R146" s="31"/>
      <c r="S146" s="23"/>
      <c r="T146" s="23"/>
      <c r="U146" s="13"/>
      <c r="V146" s="19"/>
      <c r="W146" s="19"/>
      <c r="X146" s="13"/>
      <c r="Y146" s="13"/>
      <c r="Z146" s="19"/>
      <c r="AA146" s="19"/>
    </row>
    <row r="147" spans="1:27" x14ac:dyDescent="0.25">
      <c r="A147" s="11"/>
      <c r="B147" s="12"/>
      <c r="C147" s="27"/>
      <c r="D147" s="27"/>
      <c r="E147" s="27"/>
      <c r="F147" s="27"/>
      <c r="G147" s="27"/>
      <c r="H147" s="34"/>
      <c r="I147" s="34"/>
      <c r="J147" s="27"/>
      <c r="K147" s="27"/>
      <c r="L147" s="27"/>
      <c r="M147" s="5"/>
      <c r="N147" s="27"/>
      <c r="O147" s="27"/>
      <c r="P147" s="5"/>
      <c r="Q147" s="31"/>
      <c r="R147" s="31"/>
      <c r="S147" s="23"/>
      <c r="T147" s="23"/>
      <c r="U147" s="13"/>
      <c r="V147" s="19"/>
      <c r="W147" s="19"/>
      <c r="X147" s="13"/>
      <c r="Y147" s="13"/>
      <c r="Z147" s="19"/>
      <c r="AA147" s="19"/>
    </row>
    <row r="148" spans="1:27" x14ac:dyDescent="0.25">
      <c r="A148" s="11"/>
      <c r="B148" s="12"/>
      <c r="C148" s="27"/>
      <c r="D148" s="27"/>
      <c r="E148" s="27"/>
      <c r="F148" s="27"/>
      <c r="G148" s="27"/>
      <c r="H148" s="34"/>
      <c r="I148" s="34"/>
      <c r="J148" s="27"/>
      <c r="K148" s="27"/>
      <c r="L148" s="27"/>
      <c r="M148" s="5"/>
      <c r="N148" s="27"/>
      <c r="O148" s="27"/>
      <c r="P148" s="5"/>
      <c r="Q148" s="31"/>
      <c r="R148" s="31"/>
      <c r="S148" s="23"/>
      <c r="T148" s="23"/>
      <c r="U148" s="13"/>
      <c r="V148" s="19"/>
      <c r="W148" s="19"/>
      <c r="X148" s="13"/>
      <c r="Y148" s="13"/>
      <c r="Z148" s="19"/>
      <c r="AA148" s="19"/>
    </row>
    <row r="149" spans="1:27" x14ac:dyDescent="0.25">
      <c r="A149" s="11"/>
      <c r="B149" s="12"/>
      <c r="C149" s="27"/>
      <c r="D149" s="27"/>
      <c r="E149" s="27"/>
      <c r="F149" s="27"/>
      <c r="G149" s="27"/>
      <c r="H149" s="34"/>
      <c r="I149" s="34"/>
      <c r="J149" s="27"/>
      <c r="K149" s="27"/>
      <c r="L149" s="27"/>
      <c r="M149" s="5"/>
      <c r="N149" s="27"/>
      <c r="O149" s="27"/>
      <c r="P149" s="5"/>
      <c r="Q149" s="31"/>
      <c r="R149" s="31"/>
      <c r="S149" s="23"/>
      <c r="T149" s="23"/>
      <c r="U149" s="13"/>
      <c r="V149" s="19"/>
      <c r="W149" s="19"/>
      <c r="X149" s="13"/>
      <c r="Y149" s="13"/>
      <c r="Z149" s="19"/>
      <c r="AA149" s="19"/>
    </row>
    <row r="150" spans="1:27" x14ac:dyDescent="0.25">
      <c r="A150" s="11"/>
      <c r="B150" s="12"/>
      <c r="C150" s="27"/>
      <c r="D150" s="27"/>
      <c r="E150" s="27"/>
      <c r="F150" s="27"/>
      <c r="G150" s="27"/>
      <c r="H150" s="34"/>
      <c r="I150" s="34"/>
      <c r="J150" s="27"/>
      <c r="K150" s="27"/>
      <c r="L150" s="27"/>
      <c r="M150" s="5"/>
      <c r="N150" s="27"/>
      <c r="O150" s="27"/>
      <c r="P150" s="5"/>
      <c r="Q150" s="31"/>
      <c r="R150" s="31"/>
      <c r="S150" s="23"/>
      <c r="T150" s="23"/>
      <c r="U150" s="13"/>
      <c r="V150" s="19"/>
      <c r="W150" s="19"/>
      <c r="X150" s="13"/>
      <c r="Y150" s="13"/>
      <c r="Z150" s="19"/>
      <c r="AA150" s="19"/>
    </row>
    <row r="151" spans="1:27" x14ac:dyDescent="0.25">
      <c r="A151" s="11"/>
      <c r="B151" s="12"/>
      <c r="C151" s="27"/>
      <c r="D151" s="27"/>
      <c r="E151" s="27"/>
      <c r="F151" s="27"/>
      <c r="G151" s="27"/>
      <c r="H151" s="34"/>
      <c r="I151" s="34"/>
      <c r="J151" s="27"/>
      <c r="K151" s="27"/>
      <c r="L151" s="27"/>
      <c r="M151" s="5"/>
      <c r="N151" s="27"/>
      <c r="O151" s="27"/>
      <c r="P151" s="5"/>
      <c r="Q151" s="31"/>
      <c r="R151" s="31"/>
      <c r="S151" s="23"/>
      <c r="T151" s="23"/>
      <c r="U151" s="13"/>
      <c r="V151" s="19"/>
      <c r="W151" s="19"/>
      <c r="X151" s="13"/>
      <c r="Y151" s="13"/>
      <c r="Z151" s="19"/>
      <c r="AA151" s="19"/>
    </row>
    <row r="152" spans="1:27" x14ac:dyDescent="0.25">
      <c r="A152" s="11"/>
      <c r="B152" s="12"/>
      <c r="C152" s="27"/>
      <c r="D152" s="27"/>
      <c r="E152" s="27"/>
      <c r="F152" s="27"/>
      <c r="G152" s="27"/>
      <c r="H152" s="34"/>
      <c r="I152" s="34"/>
      <c r="J152" s="27"/>
      <c r="K152" s="27"/>
      <c r="L152" s="27"/>
      <c r="M152" s="5"/>
      <c r="N152" s="27"/>
      <c r="O152" s="27"/>
      <c r="P152" s="5"/>
      <c r="Q152" s="31"/>
      <c r="R152" s="31"/>
      <c r="S152" s="23"/>
      <c r="T152" s="23"/>
      <c r="U152" s="13"/>
      <c r="V152" s="19"/>
      <c r="W152" s="19"/>
      <c r="X152" s="13"/>
      <c r="Y152" s="13"/>
      <c r="Z152" s="19"/>
      <c r="AA152" s="19"/>
    </row>
    <row r="153" spans="1:27" x14ac:dyDescent="0.25">
      <c r="A153" s="11"/>
      <c r="B153" s="12"/>
      <c r="C153" s="27"/>
      <c r="D153" s="27"/>
      <c r="E153" s="27"/>
      <c r="F153" s="27"/>
      <c r="G153" s="27"/>
      <c r="H153" s="34"/>
      <c r="I153" s="34"/>
      <c r="J153" s="27"/>
      <c r="K153" s="27"/>
      <c r="L153" s="27"/>
      <c r="M153" s="5"/>
      <c r="N153" s="27"/>
      <c r="O153" s="27"/>
      <c r="P153" s="5"/>
      <c r="Q153" s="31"/>
      <c r="R153" s="31"/>
      <c r="S153" s="23"/>
      <c r="T153" s="23"/>
      <c r="U153" s="13"/>
      <c r="V153" s="19"/>
      <c r="W153" s="19"/>
      <c r="X153" s="13"/>
      <c r="Y153" s="13"/>
      <c r="Z153" s="19"/>
      <c r="AA153" s="19"/>
    </row>
    <row r="154" spans="1:27" x14ac:dyDescent="0.25">
      <c r="A154" s="11"/>
      <c r="B154" s="12"/>
      <c r="C154" s="27"/>
      <c r="D154" s="27"/>
      <c r="E154" s="27"/>
      <c r="F154" s="27"/>
      <c r="G154" s="27"/>
      <c r="H154" s="34"/>
      <c r="I154" s="34"/>
      <c r="J154" s="27"/>
      <c r="K154" s="27"/>
      <c r="L154" s="27"/>
      <c r="M154" s="5"/>
      <c r="N154" s="27"/>
      <c r="O154" s="27"/>
      <c r="P154" s="5"/>
      <c r="Q154" s="31"/>
      <c r="R154" s="31"/>
      <c r="S154" s="23"/>
      <c r="T154" s="23"/>
      <c r="U154" s="13"/>
      <c r="V154" s="19"/>
      <c r="W154" s="19"/>
      <c r="X154" s="13"/>
      <c r="Y154" s="13"/>
      <c r="Z154" s="19"/>
      <c r="AA154" s="19"/>
    </row>
    <row r="155" spans="1:27" x14ac:dyDescent="0.25">
      <c r="A155" s="11"/>
      <c r="B155" s="12"/>
      <c r="C155" s="27"/>
      <c r="D155" s="27"/>
      <c r="E155" s="27"/>
      <c r="F155" s="27"/>
      <c r="G155" s="27"/>
      <c r="H155" s="34"/>
      <c r="I155" s="34"/>
      <c r="J155" s="27"/>
      <c r="K155" s="27"/>
      <c r="L155" s="27"/>
      <c r="M155" s="5"/>
      <c r="N155" s="27"/>
      <c r="O155" s="27"/>
      <c r="P155" s="5"/>
      <c r="Q155" s="31"/>
      <c r="R155" s="31"/>
      <c r="S155" s="23"/>
      <c r="T155" s="23"/>
      <c r="U155" s="13"/>
      <c r="V155" s="19"/>
      <c r="W155" s="19"/>
      <c r="X155" s="13"/>
      <c r="Y155" s="13"/>
      <c r="Z155" s="19"/>
      <c r="AA155" s="19"/>
    </row>
    <row r="156" spans="1:27" x14ac:dyDescent="0.25">
      <c r="A156" s="11"/>
      <c r="B156" s="12"/>
      <c r="C156" s="27"/>
      <c r="D156" s="27"/>
      <c r="E156" s="27"/>
      <c r="F156" s="27"/>
      <c r="G156" s="27"/>
      <c r="H156" s="34"/>
      <c r="I156" s="34"/>
      <c r="J156" s="27"/>
      <c r="K156" s="27"/>
      <c r="L156" s="27"/>
      <c r="M156" s="5"/>
      <c r="N156" s="27"/>
      <c r="O156" s="27"/>
      <c r="P156" s="5"/>
      <c r="Q156" s="31"/>
      <c r="R156" s="31"/>
      <c r="S156" s="23"/>
      <c r="T156" s="23"/>
      <c r="U156" s="13"/>
      <c r="V156" s="19"/>
      <c r="W156" s="19"/>
      <c r="X156" s="13"/>
      <c r="Y156" s="13"/>
      <c r="Z156" s="19"/>
      <c r="AA156" s="19"/>
    </row>
    <row r="157" spans="1:27" x14ac:dyDescent="0.25">
      <c r="A157" s="11"/>
      <c r="B157" s="12"/>
      <c r="C157" s="27"/>
      <c r="D157" s="27"/>
      <c r="E157" s="27"/>
      <c r="F157" s="27"/>
      <c r="G157" s="27"/>
      <c r="H157" s="34"/>
      <c r="I157" s="34"/>
      <c r="J157" s="27"/>
      <c r="K157" s="27"/>
      <c r="L157" s="27"/>
      <c r="M157" s="5"/>
      <c r="N157" s="27"/>
      <c r="O157" s="27"/>
      <c r="P157" s="5"/>
      <c r="Q157" s="31"/>
      <c r="R157" s="31"/>
      <c r="S157" s="23"/>
      <c r="T157" s="23"/>
      <c r="U157" s="13"/>
      <c r="V157" s="19"/>
      <c r="W157" s="19"/>
      <c r="X157" s="13"/>
      <c r="Y157" s="13"/>
      <c r="Z157" s="19"/>
      <c r="AA157" s="19"/>
    </row>
    <row r="158" spans="1:27" x14ac:dyDescent="0.25">
      <c r="A158" s="11"/>
      <c r="B158" s="12"/>
      <c r="C158" s="27"/>
      <c r="D158" s="27"/>
      <c r="E158" s="27"/>
      <c r="F158" s="27"/>
      <c r="G158" s="27"/>
      <c r="H158" s="34"/>
      <c r="I158" s="34"/>
      <c r="J158" s="27"/>
      <c r="K158" s="27"/>
      <c r="L158" s="27"/>
      <c r="M158" s="5"/>
      <c r="N158" s="27"/>
      <c r="O158" s="27"/>
      <c r="P158" s="5"/>
      <c r="Q158" s="31"/>
      <c r="R158" s="31"/>
      <c r="S158" s="23"/>
      <c r="T158" s="23"/>
      <c r="U158" s="13"/>
      <c r="V158" s="19"/>
      <c r="W158" s="19"/>
      <c r="X158" s="13"/>
      <c r="Y158" s="13"/>
      <c r="Z158" s="19"/>
      <c r="AA158" s="19"/>
    </row>
    <row r="159" spans="1:27" x14ac:dyDescent="0.25">
      <c r="A159" s="11"/>
      <c r="B159" s="12"/>
      <c r="C159" s="27"/>
      <c r="D159" s="27"/>
      <c r="E159" s="27"/>
      <c r="F159" s="27"/>
      <c r="G159" s="27"/>
      <c r="H159" s="34"/>
      <c r="I159" s="34"/>
      <c r="J159" s="27"/>
      <c r="K159" s="27"/>
      <c r="L159" s="27"/>
      <c r="M159" s="5"/>
      <c r="N159" s="27"/>
      <c r="O159" s="27"/>
      <c r="P159" s="5"/>
      <c r="Q159" s="31"/>
      <c r="R159" s="31"/>
      <c r="S159" s="23"/>
      <c r="T159" s="23"/>
      <c r="U159" s="13"/>
      <c r="V159" s="19"/>
      <c r="W159" s="19"/>
      <c r="X159" s="13"/>
      <c r="Y159" s="13"/>
      <c r="Z159" s="19"/>
      <c r="AA159" s="19"/>
    </row>
    <row r="160" spans="1:27" x14ac:dyDescent="0.25">
      <c r="A160" s="11"/>
      <c r="B160" s="12"/>
      <c r="C160" s="27"/>
      <c r="D160" s="27"/>
      <c r="E160" s="27"/>
      <c r="F160" s="27"/>
      <c r="G160" s="27"/>
      <c r="H160" s="34"/>
      <c r="I160" s="34"/>
      <c r="J160" s="27"/>
      <c r="K160" s="27"/>
      <c r="L160" s="27"/>
      <c r="M160" s="5"/>
      <c r="N160" s="27"/>
      <c r="O160" s="27"/>
      <c r="P160" s="5"/>
      <c r="Q160" s="31"/>
      <c r="R160" s="31"/>
      <c r="S160" s="23"/>
      <c r="T160" s="23"/>
      <c r="U160" s="13"/>
      <c r="V160" s="19"/>
      <c r="W160" s="19"/>
      <c r="X160" s="13"/>
      <c r="Y160" s="13"/>
      <c r="Z160" s="19"/>
      <c r="AA160" s="19"/>
    </row>
    <row r="161" spans="1:27" x14ac:dyDescent="0.25">
      <c r="A161" s="11"/>
      <c r="B161" s="12"/>
      <c r="C161" s="27"/>
      <c r="D161" s="27"/>
      <c r="E161" s="27"/>
      <c r="F161" s="27"/>
      <c r="G161" s="27"/>
      <c r="H161" s="34"/>
      <c r="I161" s="34"/>
      <c r="J161" s="27"/>
      <c r="K161" s="27"/>
      <c r="L161" s="27"/>
      <c r="M161" s="5"/>
      <c r="N161" s="27"/>
      <c r="O161" s="27"/>
      <c r="P161" s="5"/>
      <c r="Q161" s="31"/>
      <c r="R161" s="31"/>
      <c r="S161" s="23"/>
      <c r="T161" s="23"/>
      <c r="U161" s="13"/>
      <c r="V161" s="19"/>
      <c r="W161" s="19"/>
      <c r="X161" s="13"/>
      <c r="Y161" s="13"/>
      <c r="Z161" s="19"/>
      <c r="AA161" s="19"/>
    </row>
    <row r="162" spans="1:27" x14ac:dyDescent="0.25">
      <c r="A162" s="11"/>
      <c r="B162" s="12"/>
      <c r="C162" s="27"/>
      <c r="D162" s="27"/>
      <c r="E162" s="27"/>
      <c r="F162" s="27"/>
      <c r="G162" s="27"/>
      <c r="H162" s="34"/>
      <c r="I162" s="34"/>
      <c r="J162" s="27"/>
      <c r="K162" s="27"/>
      <c r="L162" s="27"/>
      <c r="M162" s="5"/>
      <c r="N162" s="27"/>
      <c r="O162" s="27"/>
      <c r="P162" s="5"/>
      <c r="Q162" s="31"/>
      <c r="R162" s="31"/>
      <c r="S162" s="23"/>
      <c r="T162" s="23"/>
      <c r="U162" s="13"/>
      <c r="V162" s="19"/>
      <c r="W162" s="19"/>
      <c r="X162" s="13"/>
      <c r="Y162" s="13"/>
      <c r="Z162" s="19"/>
      <c r="AA162" s="19"/>
    </row>
    <row r="163" spans="1:27" x14ac:dyDescent="0.25">
      <c r="A163" s="11"/>
      <c r="B163" s="12"/>
      <c r="C163" s="27"/>
      <c r="D163" s="27"/>
      <c r="E163" s="27"/>
      <c r="F163" s="27"/>
      <c r="G163" s="27"/>
      <c r="H163" s="34"/>
      <c r="I163" s="34"/>
      <c r="J163" s="27"/>
      <c r="K163" s="27"/>
      <c r="L163" s="27"/>
      <c r="M163" s="5"/>
      <c r="N163" s="27"/>
      <c r="O163" s="27"/>
      <c r="P163" s="5"/>
      <c r="Q163" s="31"/>
      <c r="R163" s="31"/>
      <c r="S163" s="23"/>
      <c r="T163" s="23"/>
      <c r="U163" s="13"/>
      <c r="V163" s="19"/>
      <c r="W163" s="19"/>
      <c r="X163" s="13"/>
      <c r="Y163" s="13"/>
      <c r="Z163" s="19"/>
      <c r="AA163" s="19"/>
    </row>
    <row r="164" spans="1:27" x14ac:dyDescent="0.25">
      <c r="A164" s="11"/>
      <c r="B164" s="12"/>
      <c r="C164" s="27"/>
      <c r="D164" s="27"/>
      <c r="E164" s="27"/>
      <c r="F164" s="27"/>
      <c r="G164" s="27"/>
      <c r="H164" s="34"/>
      <c r="I164" s="34"/>
      <c r="J164" s="27"/>
      <c r="K164" s="27"/>
      <c r="L164" s="27"/>
      <c r="M164" s="5"/>
      <c r="N164" s="27"/>
      <c r="O164" s="27"/>
      <c r="P164" s="5"/>
      <c r="Q164" s="31"/>
      <c r="R164" s="31"/>
      <c r="S164" s="23"/>
      <c r="T164" s="23"/>
      <c r="U164" s="13"/>
      <c r="V164" s="19"/>
      <c r="W164" s="19"/>
      <c r="X164" s="13"/>
      <c r="Y164" s="13"/>
      <c r="Z164" s="19"/>
      <c r="AA164" s="19"/>
    </row>
    <row r="165" spans="1:27" x14ac:dyDescent="0.25">
      <c r="A165" s="11"/>
      <c r="B165" s="12"/>
      <c r="C165" s="27"/>
      <c r="D165" s="27"/>
      <c r="E165" s="27"/>
      <c r="F165" s="27"/>
      <c r="G165" s="27"/>
      <c r="H165" s="34"/>
      <c r="I165" s="34"/>
      <c r="J165" s="27"/>
      <c r="K165" s="27"/>
      <c r="L165" s="27"/>
      <c r="M165" s="5"/>
      <c r="N165" s="27"/>
      <c r="O165" s="27"/>
      <c r="P165" s="5"/>
      <c r="Q165" s="31"/>
      <c r="R165" s="31"/>
      <c r="S165" s="23"/>
      <c r="T165" s="23"/>
      <c r="U165" s="13"/>
      <c r="V165" s="19"/>
      <c r="W165" s="19"/>
      <c r="X165" s="13"/>
      <c r="Y165" s="13"/>
      <c r="Z165" s="19"/>
      <c r="AA165" s="19"/>
    </row>
    <row r="166" spans="1:27" x14ac:dyDescent="0.25">
      <c r="A166" s="11"/>
      <c r="B166" s="12"/>
      <c r="C166" s="27"/>
      <c r="D166" s="27"/>
      <c r="E166" s="27"/>
      <c r="F166" s="27"/>
      <c r="G166" s="27"/>
      <c r="H166" s="34"/>
      <c r="I166" s="34"/>
      <c r="J166" s="27"/>
      <c r="K166" s="27"/>
      <c r="L166" s="27"/>
      <c r="M166" s="5"/>
      <c r="N166" s="27"/>
      <c r="O166" s="27"/>
      <c r="P166" s="5"/>
      <c r="Q166" s="31"/>
      <c r="R166" s="31"/>
      <c r="S166" s="23"/>
      <c r="T166" s="23"/>
      <c r="U166" s="13"/>
      <c r="V166" s="19"/>
      <c r="W166" s="19"/>
      <c r="X166" s="13"/>
      <c r="Y166" s="13"/>
      <c r="Z166" s="19"/>
      <c r="AA166" s="19"/>
    </row>
    <row r="167" spans="1:27" x14ac:dyDescent="0.25">
      <c r="A167" s="11"/>
      <c r="B167" s="12"/>
      <c r="C167" s="27"/>
      <c r="D167" s="27"/>
      <c r="E167" s="27"/>
      <c r="F167" s="27"/>
      <c r="G167" s="27"/>
      <c r="H167" s="34"/>
      <c r="I167" s="34"/>
      <c r="J167" s="27"/>
      <c r="K167" s="27"/>
      <c r="L167" s="27"/>
      <c r="M167" s="5"/>
      <c r="N167" s="27"/>
      <c r="O167" s="27"/>
      <c r="P167" s="5"/>
      <c r="Q167" s="31"/>
      <c r="R167" s="31"/>
      <c r="S167" s="23"/>
      <c r="T167" s="23"/>
      <c r="U167" s="13"/>
      <c r="V167" s="19"/>
      <c r="W167" s="19"/>
      <c r="X167" s="13"/>
      <c r="Y167" s="13"/>
      <c r="Z167" s="19"/>
      <c r="AA167" s="19"/>
    </row>
    <row r="168" spans="1:27" x14ac:dyDescent="0.25">
      <c r="A168" s="11"/>
      <c r="B168" s="12"/>
      <c r="C168" s="27"/>
      <c r="D168" s="27"/>
      <c r="E168" s="27"/>
      <c r="F168" s="27"/>
      <c r="G168" s="27"/>
      <c r="H168" s="34"/>
      <c r="I168" s="34"/>
      <c r="J168" s="27"/>
      <c r="K168" s="27"/>
      <c r="L168" s="27"/>
      <c r="M168" s="5"/>
      <c r="N168" s="27"/>
      <c r="O168" s="27"/>
      <c r="P168" s="5"/>
      <c r="Q168" s="31"/>
      <c r="R168" s="31"/>
      <c r="S168" s="23"/>
      <c r="T168" s="23"/>
      <c r="U168" s="13"/>
      <c r="V168" s="19"/>
      <c r="W168" s="19"/>
      <c r="X168" s="13"/>
      <c r="Y168" s="13"/>
      <c r="Z168" s="19"/>
      <c r="AA168" s="19"/>
    </row>
    <row r="169" spans="1:27" x14ac:dyDescent="0.25">
      <c r="A169" s="11"/>
      <c r="B169" s="12"/>
      <c r="C169" s="27"/>
      <c r="D169" s="27"/>
      <c r="E169" s="27"/>
      <c r="F169" s="27"/>
      <c r="G169" s="27"/>
      <c r="H169" s="34"/>
      <c r="I169" s="34"/>
      <c r="J169" s="27"/>
      <c r="K169" s="27"/>
      <c r="L169" s="27"/>
      <c r="M169" s="5"/>
      <c r="N169" s="27"/>
      <c r="O169" s="27"/>
      <c r="P169" s="5"/>
      <c r="Q169" s="31"/>
      <c r="R169" s="31"/>
      <c r="S169" s="23"/>
      <c r="T169" s="23"/>
      <c r="U169" s="13"/>
      <c r="V169" s="19"/>
      <c r="W169" s="19"/>
      <c r="X169" s="13"/>
      <c r="Y169" s="13"/>
      <c r="Z169" s="19"/>
      <c r="AA169" s="19"/>
    </row>
    <row r="170" spans="1:27" x14ac:dyDescent="0.25">
      <c r="A170" s="11"/>
      <c r="B170" s="12"/>
      <c r="C170" s="27"/>
      <c r="D170" s="27"/>
      <c r="E170" s="27"/>
      <c r="F170" s="27"/>
      <c r="G170" s="27"/>
      <c r="H170" s="34"/>
      <c r="I170" s="34"/>
      <c r="J170" s="27"/>
      <c r="K170" s="27"/>
      <c r="L170" s="27"/>
      <c r="M170" s="5"/>
      <c r="N170" s="27"/>
      <c r="O170" s="27"/>
      <c r="P170" s="5"/>
      <c r="Q170" s="31"/>
      <c r="R170" s="31"/>
      <c r="S170" s="23"/>
      <c r="T170" s="23"/>
      <c r="U170" s="13"/>
      <c r="V170" s="19"/>
      <c r="W170" s="19"/>
      <c r="X170" s="13"/>
      <c r="Y170" s="13"/>
      <c r="Z170" s="19"/>
      <c r="AA170" s="19"/>
    </row>
    <row r="171" spans="1:27" x14ac:dyDescent="0.25">
      <c r="A171" s="11"/>
      <c r="B171" s="12"/>
      <c r="C171" s="27"/>
      <c r="D171" s="27"/>
      <c r="E171" s="27"/>
      <c r="F171" s="27"/>
      <c r="G171" s="27"/>
      <c r="H171" s="34"/>
      <c r="I171" s="34"/>
      <c r="J171" s="27"/>
      <c r="K171" s="27"/>
      <c r="L171" s="27"/>
      <c r="M171" s="5"/>
      <c r="N171" s="27"/>
      <c r="O171" s="27"/>
      <c r="P171" s="5"/>
      <c r="Q171" s="31"/>
      <c r="R171" s="31"/>
      <c r="S171" s="23"/>
      <c r="T171" s="23"/>
      <c r="U171" s="13"/>
      <c r="V171" s="19"/>
      <c r="W171" s="19"/>
      <c r="X171" s="13"/>
      <c r="Y171" s="13"/>
      <c r="Z171" s="19"/>
      <c r="AA171" s="19"/>
    </row>
    <row r="172" spans="1:27" x14ac:dyDescent="0.25">
      <c r="A172" s="11"/>
      <c r="B172" s="12"/>
      <c r="C172" s="27"/>
      <c r="D172" s="27"/>
      <c r="E172" s="27"/>
      <c r="F172" s="27"/>
      <c r="G172" s="27"/>
      <c r="H172" s="34"/>
      <c r="I172" s="34"/>
      <c r="J172" s="27"/>
      <c r="K172" s="27"/>
      <c r="L172" s="27"/>
      <c r="M172" s="5"/>
      <c r="N172" s="27"/>
      <c r="O172" s="27"/>
      <c r="P172" s="5"/>
      <c r="Q172" s="31"/>
      <c r="R172" s="31"/>
      <c r="S172" s="23"/>
      <c r="T172" s="23"/>
      <c r="U172" s="13"/>
      <c r="V172" s="19"/>
      <c r="W172" s="19"/>
      <c r="X172" s="13"/>
      <c r="Y172" s="13"/>
      <c r="Z172" s="19"/>
      <c r="AA172" s="19"/>
    </row>
    <row r="173" spans="1:27" x14ac:dyDescent="0.25">
      <c r="A173" s="11"/>
      <c r="B173" s="12"/>
      <c r="C173" s="27"/>
      <c r="D173" s="27"/>
      <c r="E173" s="27"/>
      <c r="F173" s="27"/>
      <c r="G173" s="27"/>
      <c r="H173" s="34"/>
      <c r="I173" s="34"/>
      <c r="J173" s="27"/>
      <c r="K173" s="27"/>
      <c r="L173" s="27"/>
      <c r="M173" s="5"/>
      <c r="N173" s="27"/>
      <c r="O173" s="27"/>
      <c r="P173" s="5"/>
      <c r="Q173" s="31"/>
      <c r="R173" s="31"/>
      <c r="S173" s="23"/>
      <c r="T173" s="23"/>
      <c r="U173" s="13"/>
      <c r="V173" s="19"/>
      <c r="W173" s="19"/>
      <c r="X173" s="13"/>
      <c r="Y173" s="13"/>
      <c r="Z173" s="19"/>
      <c r="AA173" s="19"/>
    </row>
    <row r="174" spans="1:27" x14ac:dyDescent="0.25">
      <c r="A174" s="11"/>
      <c r="B174" s="12"/>
      <c r="C174" s="27"/>
      <c r="D174" s="27"/>
      <c r="E174" s="27"/>
      <c r="F174" s="27"/>
      <c r="G174" s="27"/>
      <c r="H174" s="34"/>
      <c r="I174" s="34"/>
      <c r="J174" s="27"/>
      <c r="K174" s="27"/>
      <c r="L174" s="27"/>
      <c r="M174" s="5"/>
      <c r="N174" s="27"/>
      <c r="O174" s="27"/>
      <c r="P174" s="5"/>
      <c r="Q174" s="31"/>
      <c r="R174" s="31"/>
      <c r="S174" s="23"/>
      <c r="T174" s="23"/>
      <c r="U174" s="13"/>
      <c r="V174" s="19"/>
      <c r="W174" s="19"/>
      <c r="X174" s="13"/>
      <c r="Y174" s="13"/>
      <c r="Z174" s="19"/>
      <c r="AA174" s="19"/>
    </row>
    <row r="175" spans="1:27" x14ac:dyDescent="0.25">
      <c r="A175" s="11"/>
      <c r="B175" s="12"/>
      <c r="C175" s="27"/>
      <c r="D175" s="27"/>
      <c r="E175" s="27"/>
      <c r="F175" s="27"/>
      <c r="G175" s="27"/>
      <c r="H175" s="34"/>
      <c r="I175" s="34"/>
      <c r="J175" s="27"/>
      <c r="K175" s="27"/>
      <c r="L175" s="27"/>
      <c r="M175" s="5"/>
      <c r="N175" s="27"/>
      <c r="O175" s="27"/>
      <c r="P175" s="5"/>
      <c r="Q175" s="31"/>
      <c r="R175" s="31"/>
      <c r="S175" s="23"/>
      <c r="T175" s="23"/>
      <c r="U175" s="13"/>
      <c r="V175" s="19"/>
      <c r="W175" s="19"/>
      <c r="X175" s="13"/>
      <c r="Y175" s="13"/>
      <c r="Z175" s="19"/>
      <c r="AA175" s="19"/>
    </row>
    <row r="176" spans="1:27" x14ac:dyDescent="0.25">
      <c r="A176" s="11"/>
      <c r="B176" s="12"/>
      <c r="C176" s="27"/>
      <c r="D176" s="27"/>
      <c r="E176" s="27"/>
      <c r="F176" s="27"/>
      <c r="G176" s="27"/>
      <c r="H176" s="34"/>
      <c r="I176" s="34"/>
      <c r="J176" s="27"/>
      <c r="K176" s="27"/>
      <c r="L176" s="27"/>
      <c r="M176" s="5"/>
      <c r="N176" s="27"/>
      <c r="O176" s="27"/>
      <c r="P176" s="5"/>
      <c r="Q176" s="31"/>
      <c r="R176" s="31"/>
      <c r="S176" s="23"/>
      <c r="T176" s="23"/>
      <c r="U176" s="13"/>
      <c r="V176" s="19"/>
      <c r="W176" s="19"/>
      <c r="X176" s="13"/>
      <c r="Y176" s="13"/>
      <c r="Z176" s="19"/>
      <c r="AA176" s="19"/>
    </row>
    <row r="177" spans="1:27" x14ac:dyDescent="0.25">
      <c r="A177" s="11"/>
      <c r="B177" s="12"/>
      <c r="C177" s="27"/>
      <c r="D177" s="27"/>
      <c r="E177" s="27"/>
      <c r="F177" s="27"/>
      <c r="G177" s="27"/>
      <c r="H177" s="34"/>
      <c r="I177" s="34"/>
      <c r="J177" s="27"/>
      <c r="K177" s="27"/>
      <c r="L177" s="27"/>
      <c r="M177" s="5"/>
      <c r="N177" s="27"/>
      <c r="O177" s="27"/>
      <c r="P177" s="5"/>
      <c r="Q177" s="31"/>
      <c r="R177" s="31"/>
      <c r="S177" s="23"/>
      <c r="T177" s="23"/>
      <c r="U177" s="13"/>
      <c r="V177" s="19"/>
      <c r="W177" s="19"/>
      <c r="X177" s="13"/>
      <c r="Y177" s="13"/>
      <c r="Z177" s="19"/>
      <c r="AA177" s="19"/>
    </row>
    <row r="178" spans="1:27" x14ac:dyDescent="0.25">
      <c r="A178" s="11"/>
      <c r="B178" s="12"/>
      <c r="C178" s="27"/>
      <c r="D178" s="27"/>
      <c r="E178" s="27"/>
      <c r="F178" s="27"/>
      <c r="G178" s="27"/>
      <c r="H178" s="34"/>
      <c r="I178" s="34"/>
      <c r="J178" s="27"/>
      <c r="K178" s="27"/>
      <c r="L178" s="27"/>
      <c r="M178" s="5"/>
      <c r="N178" s="27"/>
      <c r="O178" s="27"/>
      <c r="P178" s="5"/>
      <c r="Q178" s="31"/>
      <c r="R178" s="31"/>
      <c r="S178" s="23"/>
      <c r="T178" s="23"/>
      <c r="U178" s="13"/>
      <c r="V178" s="19"/>
      <c r="W178" s="19"/>
      <c r="X178" s="13"/>
      <c r="Y178" s="13"/>
      <c r="Z178" s="19"/>
      <c r="AA178" s="19"/>
    </row>
    <row r="179" spans="1:27" x14ac:dyDescent="0.25">
      <c r="A179" s="11"/>
      <c r="B179" s="12"/>
      <c r="C179" s="27"/>
      <c r="D179" s="27"/>
      <c r="E179" s="27"/>
      <c r="F179" s="27"/>
      <c r="G179" s="27"/>
      <c r="H179" s="34"/>
      <c r="I179" s="34"/>
      <c r="J179" s="27"/>
      <c r="K179" s="27"/>
      <c r="L179" s="27"/>
      <c r="M179" s="5"/>
      <c r="N179" s="27"/>
      <c r="O179" s="27"/>
      <c r="P179" s="5"/>
      <c r="Q179" s="31"/>
      <c r="R179" s="31"/>
      <c r="S179" s="23"/>
      <c r="T179" s="23"/>
      <c r="U179" s="13"/>
      <c r="V179" s="19"/>
      <c r="W179" s="19"/>
      <c r="X179" s="13"/>
      <c r="Y179" s="13"/>
      <c r="Z179" s="19"/>
      <c r="AA179" s="19"/>
    </row>
    <row r="180" spans="1:27" x14ac:dyDescent="0.25">
      <c r="A180" s="11"/>
      <c r="B180" s="12"/>
      <c r="C180" s="27"/>
      <c r="D180" s="27"/>
      <c r="E180" s="27"/>
      <c r="F180" s="27"/>
      <c r="G180" s="27"/>
      <c r="H180" s="34"/>
      <c r="I180" s="34"/>
      <c r="J180" s="27"/>
      <c r="K180" s="27"/>
      <c r="L180" s="27"/>
      <c r="M180" s="5"/>
      <c r="N180" s="27"/>
      <c r="O180" s="27"/>
      <c r="P180" s="5"/>
      <c r="Q180" s="31"/>
      <c r="R180" s="31"/>
      <c r="S180" s="23"/>
      <c r="T180" s="23"/>
      <c r="U180" s="13"/>
      <c r="V180" s="19"/>
      <c r="W180" s="19"/>
      <c r="X180" s="13"/>
      <c r="Y180" s="13"/>
      <c r="Z180" s="19"/>
      <c r="AA180" s="19"/>
    </row>
    <row r="181" spans="1:27" x14ac:dyDescent="0.25">
      <c r="A181" s="11"/>
      <c r="B181" s="12"/>
      <c r="C181" s="27"/>
      <c r="D181" s="27"/>
      <c r="E181" s="27"/>
      <c r="F181" s="27"/>
      <c r="G181" s="27"/>
      <c r="H181" s="34"/>
      <c r="I181" s="34"/>
      <c r="J181" s="27"/>
      <c r="K181" s="27"/>
      <c r="L181" s="27"/>
      <c r="M181" s="5"/>
      <c r="N181" s="27"/>
      <c r="O181" s="27"/>
      <c r="P181" s="5"/>
      <c r="Q181" s="31"/>
      <c r="R181" s="31"/>
      <c r="S181" s="23"/>
      <c r="T181" s="23"/>
      <c r="U181" s="13"/>
      <c r="V181" s="19"/>
      <c r="W181" s="19"/>
      <c r="X181" s="13"/>
      <c r="Y181" s="13"/>
      <c r="Z181" s="19"/>
      <c r="AA181" s="19"/>
    </row>
    <row r="182" spans="1:27" x14ac:dyDescent="0.25">
      <c r="A182" s="11"/>
      <c r="B182" s="12"/>
      <c r="C182" s="27"/>
      <c r="D182" s="27"/>
      <c r="E182" s="27"/>
      <c r="F182" s="27"/>
      <c r="G182" s="27"/>
      <c r="H182" s="34"/>
      <c r="I182" s="34"/>
      <c r="J182" s="27"/>
      <c r="K182" s="27"/>
      <c r="L182" s="27"/>
      <c r="M182" s="5"/>
      <c r="N182" s="27"/>
      <c r="O182" s="27"/>
      <c r="P182" s="5"/>
      <c r="Q182" s="31"/>
      <c r="R182" s="31"/>
      <c r="S182" s="23"/>
      <c r="T182" s="23"/>
      <c r="U182" s="13"/>
      <c r="V182" s="19"/>
      <c r="W182" s="19"/>
      <c r="X182" s="13"/>
      <c r="Y182" s="13"/>
      <c r="Z182" s="19"/>
      <c r="AA182" s="19"/>
    </row>
    <row r="183" spans="1:27" x14ac:dyDescent="0.25">
      <c r="A183" s="11"/>
      <c r="B183" s="12"/>
      <c r="C183" s="27"/>
      <c r="D183" s="27"/>
      <c r="E183" s="27"/>
      <c r="F183" s="27"/>
      <c r="G183" s="27"/>
      <c r="H183" s="34"/>
      <c r="I183" s="34"/>
      <c r="J183" s="27"/>
      <c r="K183" s="27"/>
      <c r="L183" s="27"/>
      <c r="M183" s="5"/>
      <c r="N183" s="27"/>
      <c r="O183" s="27"/>
      <c r="P183" s="5"/>
      <c r="Q183" s="31"/>
      <c r="R183" s="31"/>
      <c r="S183" s="23"/>
      <c r="T183" s="23"/>
      <c r="U183" s="13"/>
      <c r="V183" s="19"/>
      <c r="W183" s="19"/>
      <c r="X183" s="13"/>
      <c r="Y183" s="13"/>
      <c r="Z183" s="19"/>
      <c r="AA183" s="19"/>
    </row>
    <row r="184" spans="1:27" x14ac:dyDescent="0.25">
      <c r="A184" s="11"/>
      <c r="B184" s="12"/>
      <c r="C184" s="27"/>
      <c r="D184" s="27"/>
      <c r="E184" s="27"/>
      <c r="F184" s="27"/>
      <c r="G184" s="27"/>
      <c r="H184" s="34"/>
      <c r="I184" s="34"/>
      <c r="J184" s="27"/>
      <c r="K184" s="27"/>
      <c r="L184" s="27"/>
      <c r="M184" s="5"/>
      <c r="N184" s="27"/>
      <c r="O184" s="27"/>
      <c r="P184" s="5"/>
      <c r="Q184" s="31"/>
      <c r="R184" s="31"/>
      <c r="S184" s="23"/>
      <c r="T184" s="23"/>
      <c r="U184" s="13"/>
      <c r="V184" s="19"/>
      <c r="W184" s="19"/>
      <c r="X184" s="13"/>
      <c r="Y184" s="13"/>
      <c r="Z184" s="19"/>
      <c r="AA184" s="19"/>
    </row>
    <row r="185" spans="1:27" x14ac:dyDescent="0.25">
      <c r="A185" s="11"/>
      <c r="B185" s="12"/>
      <c r="C185" s="27"/>
      <c r="D185" s="27"/>
      <c r="E185" s="27"/>
      <c r="F185" s="27"/>
      <c r="G185" s="27"/>
      <c r="H185" s="34"/>
      <c r="I185" s="34"/>
      <c r="J185" s="27"/>
      <c r="K185" s="27"/>
      <c r="L185" s="27"/>
      <c r="M185" s="5"/>
      <c r="N185" s="27"/>
      <c r="O185" s="27"/>
      <c r="P185" s="5"/>
      <c r="Q185" s="31"/>
      <c r="R185" s="31"/>
      <c r="S185" s="23"/>
      <c r="T185" s="23"/>
      <c r="U185" s="13"/>
      <c r="V185" s="19"/>
      <c r="W185" s="19"/>
      <c r="X185" s="13"/>
      <c r="Y185" s="13"/>
      <c r="Z185" s="19"/>
      <c r="AA185" s="19"/>
    </row>
    <row r="186" spans="1:27" x14ac:dyDescent="0.25">
      <c r="A186" s="11"/>
      <c r="B186" s="12"/>
      <c r="C186" s="27"/>
      <c r="D186" s="27"/>
      <c r="E186" s="27"/>
      <c r="F186" s="27"/>
      <c r="G186" s="27"/>
      <c r="H186" s="34"/>
      <c r="I186" s="34"/>
      <c r="J186" s="27"/>
      <c r="K186" s="27"/>
      <c r="L186" s="27"/>
      <c r="M186" s="5"/>
      <c r="N186" s="27"/>
      <c r="O186" s="27"/>
      <c r="P186" s="5"/>
      <c r="Q186" s="31"/>
      <c r="R186" s="31"/>
      <c r="S186" s="23"/>
      <c r="T186" s="23"/>
      <c r="U186" s="13"/>
      <c r="V186" s="19"/>
      <c r="W186" s="19"/>
      <c r="X186" s="13"/>
      <c r="Y186" s="13"/>
      <c r="Z186" s="19"/>
      <c r="AA186" s="19"/>
    </row>
    <row r="187" spans="1:27" x14ac:dyDescent="0.25">
      <c r="A187" s="11"/>
      <c r="B187" s="12"/>
      <c r="C187" s="27"/>
      <c r="D187" s="27"/>
      <c r="E187" s="27"/>
      <c r="F187" s="27"/>
      <c r="G187" s="27"/>
      <c r="H187" s="34"/>
      <c r="I187" s="34"/>
      <c r="J187" s="27"/>
      <c r="K187" s="27"/>
      <c r="L187" s="27"/>
      <c r="M187" s="5"/>
      <c r="N187" s="27"/>
      <c r="O187" s="27"/>
      <c r="P187" s="5"/>
      <c r="Q187" s="31"/>
      <c r="R187" s="31"/>
      <c r="S187" s="23"/>
      <c r="T187" s="23"/>
      <c r="U187" s="13"/>
      <c r="V187" s="19"/>
      <c r="W187" s="19"/>
      <c r="X187" s="13"/>
      <c r="Y187" s="13"/>
      <c r="Z187" s="19"/>
      <c r="AA187" s="19"/>
    </row>
    <row r="188" spans="1:27" x14ac:dyDescent="0.25">
      <c r="A188" s="11"/>
      <c r="B188" s="12"/>
      <c r="C188" s="27"/>
      <c r="D188" s="27"/>
      <c r="E188" s="27"/>
      <c r="F188" s="27"/>
      <c r="G188" s="27"/>
      <c r="H188" s="34"/>
      <c r="I188" s="34"/>
      <c r="J188" s="27"/>
      <c r="K188" s="27"/>
      <c r="L188" s="27"/>
      <c r="M188" s="5"/>
      <c r="N188" s="27"/>
      <c r="O188" s="27"/>
      <c r="P188" s="5"/>
      <c r="Q188" s="31"/>
      <c r="R188" s="31"/>
      <c r="S188" s="23"/>
      <c r="T188" s="23"/>
      <c r="U188" s="13"/>
      <c r="V188" s="19"/>
      <c r="W188" s="19"/>
      <c r="X188" s="13"/>
      <c r="Y188" s="13"/>
      <c r="Z188" s="19"/>
      <c r="AA188" s="19"/>
    </row>
    <row r="189" spans="1:27" x14ac:dyDescent="0.25">
      <c r="A189" s="11"/>
      <c r="B189" s="12"/>
      <c r="C189" s="27"/>
      <c r="D189" s="27"/>
      <c r="E189" s="27"/>
      <c r="F189" s="27"/>
      <c r="G189" s="27"/>
      <c r="H189" s="34"/>
      <c r="I189" s="34"/>
      <c r="J189" s="27"/>
      <c r="K189" s="27"/>
      <c r="L189" s="27"/>
      <c r="M189" s="5"/>
      <c r="N189" s="27"/>
      <c r="O189" s="27"/>
      <c r="P189" s="5"/>
      <c r="Q189" s="31"/>
      <c r="R189" s="31"/>
      <c r="S189" s="23"/>
      <c r="T189" s="23"/>
      <c r="U189" s="13"/>
      <c r="V189" s="19"/>
      <c r="W189" s="19"/>
      <c r="X189" s="13"/>
      <c r="Y189" s="13"/>
      <c r="Z189" s="19"/>
      <c r="AA189" s="19"/>
    </row>
    <row r="190" spans="1:27" x14ac:dyDescent="0.25">
      <c r="A190" s="11"/>
      <c r="B190" s="12"/>
      <c r="C190" s="27"/>
      <c r="D190" s="27"/>
      <c r="E190" s="27"/>
      <c r="F190" s="27"/>
      <c r="G190" s="27"/>
      <c r="H190" s="34"/>
      <c r="I190" s="34"/>
      <c r="J190" s="27"/>
      <c r="K190" s="27"/>
      <c r="L190" s="27"/>
      <c r="M190" s="5"/>
      <c r="N190" s="27"/>
      <c r="O190" s="27"/>
      <c r="P190" s="5"/>
      <c r="Q190" s="31"/>
      <c r="R190" s="31"/>
      <c r="S190" s="23"/>
      <c r="T190" s="23"/>
      <c r="U190" s="13"/>
      <c r="V190" s="19"/>
      <c r="W190" s="19"/>
      <c r="X190" s="13"/>
      <c r="Y190" s="13"/>
      <c r="Z190" s="19"/>
      <c r="AA190" s="19"/>
    </row>
    <row r="191" spans="1:27" x14ac:dyDescent="0.25">
      <c r="A191" s="11"/>
      <c r="B191" s="12"/>
      <c r="C191" s="27"/>
      <c r="D191" s="27"/>
      <c r="E191" s="27"/>
      <c r="F191" s="27"/>
      <c r="G191" s="27"/>
      <c r="H191" s="34"/>
      <c r="I191" s="34"/>
      <c r="J191" s="27"/>
      <c r="K191" s="27"/>
      <c r="L191" s="27"/>
      <c r="M191" s="5"/>
      <c r="N191" s="27"/>
      <c r="O191" s="27"/>
      <c r="P191" s="5"/>
      <c r="Q191" s="31"/>
      <c r="R191" s="31"/>
      <c r="S191" s="23"/>
      <c r="T191" s="23"/>
      <c r="U191" s="13"/>
      <c r="V191" s="19"/>
      <c r="W191" s="19"/>
      <c r="X191" s="13"/>
      <c r="Y191" s="13"/>
      <c r="Z191" s="19"/>
      <c r="AA191" s="19"/>
    </row>
    <row r="192" spans="1:27" x14ac:dyDescent="0.25">
      <c r="A192" s="11"/>
      <c r="B192" s="12"/>
      <c r="C192" s="27"/>
      <c r="D192" s="27"/>
      <c r="E192" s="27"/>
      <c r="F192" s="27"/>
      <c r="G192" s="27"/>
      <c r="H192" s="34"/>
      <c r="I192" s="34"/>
      <c r="J192" s="27"/>
      <c r="K192" s="27"/>
      <c r="L192" s="27"/>
      <c r="M192" s="5"/>
      <c r="N192" s="27"/>
      <c r="O192" s="27"/>
      <c r="P192" s="5"/>
      <c r="Q192" s="31"/>
      <c r="R192" s="31"/>
      <c r="S192" s="23"/>
      <c r="T192" s="23"/>
      <c r="U192" s="13"/>
      <c r="V192" s="19"/>
      <c r="W192" s="19"/>
      <c r="X192" s="13"/>
      <c r="Y192" s="13"/>
      <c r="Z192" s="19"/>
      <c r="AA192" s="19"/>
    </row>
    <row r="193" spans="1:27" x14ac:dyDescent="0.25">
      <c r="A193" s="11"/>
      <c r="B193" s="12"/>
      <c r="C193" s="27"/>
      <c r="D193" s="27"/>
      <c r="E193" s="27"/>
      <c r="F193" s="27"/>
      <c r="G193" s="27"/>
      <c r="H193" s="34"/>
      <c r="I193" s="34"/>
      <c r="J193" s="27"/>
      <c r="K193" s="27"/>
      <c r="L193" s="27"/>
      <c r="M193" s="5"/>
      <c r="N193" s="27"/>
      <c r="O193" s="27"/>
      <c r="P193" s="5"/>
      <c r="Q193" s="31"/>
      <c r="R193" s="31"/>
      <c r="S193" s="23"/>
      <c r="T193" s="23"/>
      <c r="U193" s="13"/>
      <c r="V193" s="19"/>
      <c r="W193" s="19"/>
      <c r="X193" s="13"/>
      <c r="Y193" s="13"/>
      <c r="Z193" s="19"/>
      <c r="AA193" s="19"/>
    </row>
    <row r="194" spans="1:27" x14ac:dyDescent="0.25">
      <c r="A194" s="11"/>
      <c r="B194" s="12"/>
      <c r="C194" s="27"/>
      <c r="D194" s="27"/>
      <c r="E194" s="27"/>
      <c r="F194" s="27"/>
      <c r="G194" s="27"/>
      <c r="H194" s="34"/>
      <c r="I194" s="34"/>
      <c r="J194" s="27"/>
      <c r="K194" s="27"/>
      <c r="L194" s="27"/>
      <c r="M194" s="5"/>
      <c r="N194" s="27"/>
      <c r="O194" s="27"/>
      <c r="P194" s="5"/>
      <c r="Q194" s="31"/>
      <c r="R194" s="31"/>
      <c r="S194" s="23"/>
      <c r="T194" s="23"/>
      <c r="U194" s="13"/>
      <c r="V194" s="19"/>
      <c r="W194" s="19"/>
      <c r="X194" s="13"/>
      <c r="Y194" s="13"/>
      <c r="Z194" s="19"/>
      <c r="AA194" s="19"/>
    </row>
    <row r="195" spans="1:27" x14ac:dyDescent="0.25">
      <c r="A195" s="11"/>
      <c r="B195" s="12"/>
      <c r="C195" s="27"/>
      <c r="D195" s="27"/>
      <c r="E195" s="27"/>
      <c r="F195" s="27"/>
      <c r="G195" s="27"/>
      <c r="H195" s="34"/>
      <c r="I195" s="34"/>
      <c r="J195" s="27"/>
      <c r="K195" s="27"/>
      <c r="L195" s="27"/>
      <c r="M195" s="5"/>
      <c r="N195" s="27"/>
      <c r="O195" s="27"/>
      <c r="P195" s="5"/>
      <c r="Q195" s="31"/>
      <c r="R195" s="31"/>
      <c r="S195" s="23"/>
      <c r="T195" s="23"/>
      <c r="U195" s="13"/>
      <c r="V195" s="19"/>
      <c r="W195" s="19"/>
      <c r="X195" s="13"/>
      <c r="Y195" s="13"/>
      <c r="Z195" s="19"/>
      <c r="AA195" s="19"/>
    </row>
    <row r="196" spans="1:27" x14ac:dyDescent="0.25">
      <c r="A196" s="11"/>
      <c r="B196" s="12"/>
      <c r="C196" s="27"/>
      <c r="D196" s="27"/>
      <c r="E196" s="27"/>
      <c r="F196" s="27"/>
      <c r="G196" s="27"/>
      <c r="H196" s="34"/>
      <c r="I196" s="34"/>
      <c r="J196" s="27"/>
      <c r="K196" s="27"/>
      <c r="L196" s="27"/>
      <c r="M196" s="5"/>
      <c r="N196" s="27"/>
      <c r="O196" s="27"/>
      <c r="P196" s="5"/>
      <c r="Q196" s="31"/>
      <c r="R196" s="31"/>
      <c r="S196" s="23"/>
      <c r="T196" s="23"/>
      <c r="U196" s="13"/>
      <c r="V196" s="19"/>
      <c r="W196" s="19"/>
      <c r="X196" s="13"/>
      <c r="Y196" s="13"/>
      <c r="Z196" s="19"/>
      <c r="AA196" s="19"/>
    </row>
    <row r="197" spans="1:27" x14ac:dyDescent="0.25">
      <c r="A197" s="11"/>
      <c r="B197" s="12"/>
      <c r="C197" s="27"/>
      <c r="D197" s="27"/>
      <c r="E197" s="27"/>
      <c r="F197" s="27"/>
      <c r="G197" s="27"/>
      <c r="H197" s="34"/>
      <c r="I197" s="34"/>
      <c r="J197" s="27"/>
      <c r="K197" s="27"/>
      <c r="L197" s="27"/>
      <c r="M197" s="5"/>
      <c r="N197" s="27"/>
      <c r="O197" s="27"/>
      <c r="P197" s="5"/>
      <c r="Q197" s="31"/>
      <c r="R197" s="31"/>
      <c r="S197" s="23"/>
      <c r="T197" s="23"/>
      <c r="U197" s="13"/>
      <c r="V197" s="19"/>
      <c r="W197" s="19"/>
      <c r="X197" s="13"/>
      <c r="Y197" s="13"/>
      <c r="Z197" s="19"/>
      <c r="AA197" s="19"/>
    </row>
    <row r="198" spans="1:27" x14ac:dyDescent="0.25">
      <c r="A198" s="11"/>
      <c r="B198" s="12"/>
      <c r="C198" s="27"/>
      <c r="D198" s="27"/>
      <c r="E198" s="27"/>
      <c r="F198" s="27"/>
      <c r="G198" s="27"/>
      <c r="H198" s="34"/>
      <c r="I198" s="34"/>
      <c r="J198" s="27"/>
      <c r="K198" s="27"/>
      <c r="L198" s="27"/>
      <c r="M198" s="5"/>
      <c r="N198" s="27"/>
      <c r="O198" s="27"/>
      <c r="P198" s="5"/>
      <c r="Q198" s="31"/>
      <c r="R198" s="31"/>
      <c r="S198" s="23"/>
      <c r="T198" s="23"/>
      <c r="U198" s="13"/>
      <c r="V198" s="19"/>
      <c r="W198" s="19"/>
      <c r="X198" s="13"/>
      <c r="Y198" s="13"/>
      <c r="Z198" s="19"/>
      <c r="AA198" s="19"/>
    </row>
    <row r="199" spans="1:27" x14ac:dyDescent="0.25">
      <c r="A199" s="11"/>
      <c r="B199" s="12"/>
      <c r="C199" s="27"/>
      <c r="D199" s="27"/>
      <c r="E199" s="27"/>
      <c r="F199" s="27"/>
      <c r="G199" s="27"/>
      <c r="H199" s="34"/>
      <c r="I199" s="34"/>
      <c r="J199" s="27"/>
      <c r="K199" s="27"/>
      <c r="L199" s="27"/>
      <c r="M199" s="5"/>
      <c r="N199" s="27"/>
      <c r="O199" s="27"/>
      <c r="P199" s="5"/>
      <c r="Q199" s="31"/>
      <c r="R199" s="31"/>
      <c r="S199" s="23"/>
      <c r="T199" s="23"/>
      <c r="U199" s="13"/>
      <c r="V199" s="19"/>
      <c r="W199" s="19"/>
      <c r="X199" s="13"/>
      <c r="Y199" s="13"/>
      <c r="Z199" s="19"/>
      <c r="AA199" s="19"/>
    </row>
    <row r="200" spans="1:27" x14ac:dyDescent="0.25">
      <c r="A200" s="11"/>
      <c r="B200" s="12"/>
      <c r="C200" s="27"/>
      <c r="D200" s="27"/>
      <c r="E200" s="27"/>
      <c r="F200" s="27"/>
      <c r="G200" s="27"/>
      <c r="H200" s="34"/>
      <c r="I200" s="34"/>
      <c r="J200" s="27"/>
      <c r="K200" s="27"/>
      <c r="L200" s="27"/>
      <c r="M200" s="5"/>
      <c r="N200" s="27"/>
      <c r="O200" s="27"/>
      <c r="P200" s="5"/>
      <c r="Q200" s="31"/>
      <c r="R200" s="31"/>
      <c r="S200" s="23"/>
      <c r="T200" s="23"/>
      <c r="U200" s="13"/>
      <c r="V200" s="19"/>
      <c r="W200" s="19"/>
      <c r="X200" s="13"/>
      <c r="Y200" s="13"/>
      <c r="Z200" s="19"/>
      <c r="AA200" s="19"/>
    </row>
    <row r="201" spans="1:27" x14ac:dyDescent="0.25">
      <c r="A201" s="11"/>
      <c r="B201" s="12"/>
      <c r="C201" s="27"/>
      <c r="D201" s="27"/>
      <c r="E201" s="27"/>
      <c r="F201" s="27"/>
      <c r="G201" s="27"/>
      <c r="H201" s="34"/>
      <c r="I201" s="34"/>
      <c r="J201" s="27"/>
      <c r="K201" s="27"/>
      <c r="L201" s="27"/>
      <c r="M201" s="5"/>
      <c r="N201" s="27"/>
      <c r="O201" s="27"/>
      <c r="P201" s="5"/>
      <c r="Q201" s="31"/>
      <c r="R201" s="31"/>
      <c r="S201" s="23"/>
      <c r="T201" s="23"/>
      <c r="U201" s="13"/>
      <c r="V201" s="19"/>
      <c r="W201" s="19"/>
      <c r="X201" s="13"/>
      <c r="Y201" s="13"/>
      <c r="Z201" s="19"/>
      <c r="AA201" s="19"/>
    </row>
    <row r="202" spans="1:27" x14ac:dyDescent="0.25">
      <c r="A202" s="11"/>
      <c r="B202" s="12"/>
      <c r="C202" s="27"/>
      <c r="D202" s="27"/>
      <c r="E202" s="27"/>
      <c r="F202" s="27"/>
      <c r="G202" s="27"/>
      <c r="H202" s="34"/>
      <c r="I202" s="34"/>
      <c r="J202" s="27"/>
      <c r="K202" s="27"/>
      <c r="L202" s="27"/>
      <c r="M202" s="5"/>
      <c r="N202" s="27"/>
      <c r="O202" s="27"/>
      <c r="P202" s="5"/>
      <c r="Q202" s="31"/>
      <c r="R202" s="31"/>
      <c r="S202" s="23"/>
      <c r="T202" s="23"/>
      <c r="U202" s="13"/>
      <c r="V202" s="19"/>
      <c r="W202" s="19"/>
      <c r="X202" s="13"/>
      <c r="Y202" s="13"/>
      <c r="Z202" s="19"/>
      <c r="AA202" s="19"/>
    </row>
    <row r="203" spans="1:27" x14ac:dyDescent="0.25">
      <c r="A203" s="11"/>
      <c r="B203" s="12"/>
      <c r="C203" s="27"/>
      <c r="D203" s="27"/>
      <c r="E203" s="27"/>
      <c r="F203" s="27"/>
      <c r="G203" s="27"/>
      <c r="H203" s="34"/>
      <c r="I203" s="34"/>
      <c r="J203" s="27"/>
      <c r="K203" s="27"/>
      <c r="L203" s="27"/>
      <c r="M203" s="5"/>
      <c r="N203" s="27"/>
      <c r="O203" s="27"/>
      <c r="P203" s="5"/>
      <c r="Q203" s="31"/>
      <c r="R203" s="31"/>
      <c r="S203" s="23"/>
      <c r="T203" s="23"/>
      <c r="U203" s="13"/>
      <c r="V203" s="19"/>
      <c r="W203" s="19"/>
      <c r="X203" s="13"/>
      <c r="Y203" s="13"/>
      <c r="Z203" s="19"/>
      <c r="AA203" s="19"/>
    </row>
    <row r="204" spans="1:27" x14ac:dyDescent="0.25">
      <c r="A204" s="11"/>
      <c r="B204" s="12"/>
      <c r="C204" s="27"/>
      <c r="D204" s="27"/>
      <c r="E204" s="27"/>
      <c r="F204" s="27"/>
      <c r="G204" s="27"/>
      <c r="H204" s="34"/>
      <c r="I204" s="34"/>
      <c r="J204" s="27"/>
      <c r="K204" s="27"/>
      <c r="L204" s="27"/>
      <c r="M204" s="5"/>
      <c r="N204" s="27"/>
      <c r="O204" s="27"/>
      <c r="P204" s="5"/>
      <c r="Q204" s="31"/>
      <c r="R204" s="31"/>
      <c r="S204" s="23"/>
      <c r="T204" s="23"/>
      <c r="U204" s="13"/>
      <c r="V204" s="19"/>
      <c r="W204" s="19"/>
      <c r="X204" s="13"/>
      <c r="Y204" s="13"/>
      <c r="Z204" s="19"/>
      <c r="AA204" s="19"/>
    </row>
    <row r="205" spans="1:27" x14ac:dyDescent="0.25">
      <c r="A205" s="11"/>
      <c r="B205" s="12"/>
      <c r="C205" s="27"/>
      <c r="D205" s="27"/>
      <c r="E205" s="27"/>
      <c r="F205" s="27"/>
      <c r="G205" s="27"/>
      <c r="H205" s="34"/>
      <c r="I205" s="34"/>
      <c r="J205" s="27"/>
      <c r="K205" s="27"/>
      <c r="L205" s="27"/>
      <c r="M205" s="5"/>
      <c r="N205" s="27"/>
      <c r="O205" s="27"/>
      <c r="P205" s="5"/>
      <c r="Q205" s="31"/>
      <c r="R205" s="31"/>
      <c r="S205" s="23"/>
      <c r="T205" s="23"/>
      <c r="U205" s="13"/>
      <c r="V205" s="19"/>
      <c r="W205" s="19"/>
      <c r="X205" s="13"/>
      <c r="Y205" s="13"/>
      <c r="Z205" s="19"/>
      <c r="AA205" s="19"/>
    </row>
    <row r="206" spans="1:27" x14ac:dyDescent="0.25">
      <c r="A206" s="11"/>
      <c r="B206" s="12"/>
      <c r="C206" s="27"/>
      <c r="D206" s="27"/>
      <c r="E206" s="27"/>
      <c r="F206" s="27"/>
      <c r="G206" s="27"/>
      <c r="H206" s="34"/>
      <c r="I206" s="34"/>
      <c r="J206" s="27"/>
      <c r="K206" s="27"/>
      <c r="L206" s="27"/>
      <c r="M206" s="5"/>
      <c r="N206" s="27"/>
      <c r="O206" s="27"/>
      <c r="P206" s="5"/>
      <c r="Q206" s="31"/>
      <c r="R206" s="31"/>
      <c r="S206" s="23"/>
      <c r="T206" s="23"/>
      <c r="U206" s="13"/>
      <c r="V206" s="19"/>
      <c r="W206" s="19"/>
      <c r="X206" s="13"/>
      <c r="Y206" s="13"/>
      <c r="Z206" s="19"/>
      <c r="AA206" s="19"/>
    </row>
    <row r="207" spans="1:27" x14ac:dyDescent="0.25">
      <c r="A207" s="11"/>
      <c r="B207" s="12"/>
      <c r="C207" s="27"/>
      <c r="D207" s="27"/>
      <c r="E207" s="27"/>
      <c r="F207" s="27"/>
      <c r="G207" s="27"/>
      <c r="H207" s="34"/>
      <c r="I207" s="34"/>
      <c r="J207" s="27"/>
      <c r="K207" s="27"/>
      <c r="L207" s="27"/>
      <c r="M207" s="5"/>
      <c r="N207" s="27"/>
      <c r="O207" s="27"/>
      <c r="P207" s="5"/>
      <c r="Q207" s="31"/>
      <c r="R207" s="31"/>
      <c r="S207" s="23"/>
      <c r="T207" s="23"/>
      <c r="U207" s="13"/>
      <c r="V207" s="19"/>
      <c r="W207" s="19"/>
      <c r="X207" s="13"/>
      <c r="Y207" s="13"/>
      <c r="Z207" s="19"/>
      <c r="AA207" s="19"/>
    </row>
    <row r="208" spans="1:27" x14ac:dyDescent="0.25">
      <c r="A208" s="11"/>
      <c r="B208" s="12"/>
      <c r="C208" s="27"/>
      <c r="D208" s="27"/>
      <c r="E208" s="27"/>
      <c r="F208" s="27"/>
      <c r="G208" s="27"/>
      <c r="H208" s="34"/>
      <c r="I208" s="34"/>
      <c r="J208" s="27"/>
      <c r="K208" s="27"/>
      <c r="L208" s="27"/>
      <c r="M208" s="5"/>
      <c r="N208" s="27"/>
      <c r="O208" s="27"/>
      <c r="P208" s="5"/>
      <c r="Q208" s="31"/>
      <c r="R208" s="31"/>
      <c r="S208" s="23"/>
      <c r="T208" s="23"/>
      <c r="U208" s="13"/>
      <c r="V208" s="19"/>
      <c r="W208" s="19"/>
      <c r="X208" s="13"/>
      <c r="Y208" s="13"/>
      <c r="Z208" s="19"/>
      <c r="AA208" s="19"/>
    </row>
    <row r="209" spans="1:27" x14ac:dyDescent="0.25">
      <c r="A209" s="11"/>
      <c r="B209" s="12"/>
      <c r="C209" s="27"/>
      <c r="D209" s="27"/>
      <c r="E209" s="27"/>
      <c r="F209" s="27"/>
      <c r="G209" s="27"/>
      <c r="H209" s="34"/>
      <c r="I209" s="34"/>
      <c r="J209" s="27"/>
      <c r="K209" s="27"/>
      <c r="L209" s="27"/>
      <c r="M209" s="5"/>
      <c r="N209" s="27"/>
      <c r="O209" s="27"/>
      <c r="P209" s="5"/>
      <c r="Q209" s="31"/>
      <c r="R209" s="31"/>
      <c r="S209" s="23"/>
      <c r="T209" s="23"/>
      <c r="U209" s="13"/>
      <c r="V209" s="19"/>
      <c r="W209" s="19"/>
      <c r="X209" s="13"/>
      <c r="Y209" s="13"/>
      <c r="Z209" s="19"/>
      <c r="AA209" s="19"/>
    </row>
    <row r="210" spans="1:27" x14ac:dyDescent="0.25">
      <c r="A210" s="11"/>
      <c r="B210" s="12"/>
      <c r="C210" s="27"/>
      <c r="D210" s="27"/>
      <c r="E210" s="27"/>
      <c r="F210" s="27"/>
      <c r="G210" s="27"/>
      <c r="H210" s="34"/>
      <c r="I210" s="34"/>
      <c r="J210" s="27"/>
      <c r="K210" s="27"/>
      <c r="L210" s="27"/>
      <c r="M210" s="5"/>
      <c r="N210" s="27"/>
      <c r="O210" s="27"/>
      <c r="P210" s="5"/>
      <c r="Q210" s="31"/>
      <c r="R210" s="31"/>
      <c r="S210" s="23"/>
      <c r="T210" s="23"/>
      <c r="U210" s="13"/>
      <c r="V210" s="19"/>
      <c r="W210" s="19"/>
      <c r="X210" s="13"/>
      <c r="Y210" s="13"/>
      <c r="Z210" s="19"/>
      <c r="AA210" s="19"/>
    </row>
    <row r="211" spans="1:27" x14ac:dyDescent="0.25">
      <c r="A211" s="11"/>
      <c r="B211" s="12"/>
      <c r="C211" s="27"/>
      <c r="D211" s="27"/>
      <c r="E211" s="27"/>
      <c r="F211" s="27"/>
      <c r="G211" s="27"/>
      <c r="H211" s="34"/>
      <c r="I211" s="34"/>
      <c r="J211" s="27"/>
      <c r="K211" s="27"/>
      <c r="L211" s="27"/>
      <c r="M211" s="5"/>
      <c r="N211" s="27"/>
      <c r="O211" s="27"/>
      <c r="P211" s="5"/>
      <c r="Q211" s="31"/>
      <c r="R211" s="31"/>
      <c r="S211" s="23"/>
      <c r="T211" s="23"/>
      <c r="U211" s="13"/>
      <c r="V211" s="19"/>
      <c r="W211" s="19"/>
      <c r="X211" s="13"/>
      <c r="Y211" s="13"/>
      <c r="Z211" s="19"/>
      <c r="AA211" s="19"/>
    </row>
    <row r="212" spans="1:27" x14ac:dyDescent="0.25">
      <c r="A212" s="11"/>
      <c r="B212" s="12"/>
      <c r="C212" s="27"/>
      <c r="D212" s="27"/>
      <c r="E212" s="27"/>
      <c r="F212" s="27"/>
      <c r="G212" s="27"/>
      <c r="H212" s="34"/>
      <c r="I212" s="34"/>
      <c r="J212" s="27"/>
      <c r="K212" s="27"/>
      <c r="L212" s="27"/>
      <c r="M212" s="5"/>
      <c r="N212" s="27"/>
      <c r="O212" s="27"/>
      <c r="P212" s="5"/>
      <c r="Q212" s="31"/>
      <c r="R212" s="31"/>
      <c r="S212" s="23"/>
      <c r="T212" s="23"/>
      <c r="U212" s="13"/>
      <c r="V212" s="19"/>
      <c r="W212" s="19"/>
      <c r="X212" s="13"/>
      <c r="Y212" s="13"/>
      <c r="Z212" s="19"/>
      <c r="AA212" s="19"/>
    </row>
    <row r="213" spans="1:27" x14ac:dyDescent="0.25">
      <c r="A213" s="11"/>
      <c r="B213" s="12"/>
      <c r="C213" s="27"/>
      <c r="D213" s="27"/>
      <c r="E213" s="27"/>
      <c r="F213" s="27"/>
      <c r="G213" s="27"/>
      <c r="H213" s="34"/>
      <c r="I213" s="34"/>
      <c r="J213" s="27"/>
      <c r="K213" s="27"/>
      <c r="L213" s="27"/>
      <c r="M213" s="5"/>
      <c r="N213" s="27"/>
      <c r="O213" s="27"/>
      <c r="P213" s="5"/>
      <c r="Q213" s="31"/>
      <c r="R213" s="31"/>
      <c r="S213" s="23"/>
      <c r="T213" s="23"/>
      <c r="U213" s="13"/>
      <c r="V213" s="19"/>
      <c r="W213" s="19"/>
      <c r="X213" s="13"/>
      <c r="Y213" s="13"/>
      <c r="Z213" s="19"/>
      <c r="AA213" s="19"/>
    </row>
    <row r="214" spans="1:27" x14ac:dyDescent="0.25">
      <c r="A214" s="11"/>
      <c r="B214" s="12"/>
      <c r="C214" s="27"/>
      <c r="D214" s="27"/>
      <c r="E214" s="27"/>
      <c r="F214" s="27"/>
      <c r="G214" s="27"/>
      <c r="H214" s="34"/>
      <c r="I214" s="34"/>
      <c r="J214" s="27"/>
      <c r="K214" s="27"/>
      <c r="L214" s="27"/>
      <c r="M214" s="5"/>
      <c r="N214" s="27"/>
      <c r="O214" s="27"/>
      <c r="P214" s="5"/>
      <c r="Q214" s="31"/>
      <c r="R214" s="31"/>
      <c r="S214" s="23"/>
      <c r="T214" s="23"/>
      <c r="U214" s="13"/>
      <c r="V214" s="19"/>
      <c r="W214" s="19"/>
      <c r="X214" s="13"/>
      <c r="Y214" s="13"/>
      <c r="Z214" s="19"/>
      <c r="AA214" s="19"/>
    </row>
    <row r="215" spans="1:27" x14ac:dyDescent="0.25">
      <c r="A215" s="11"/>
      <c r="B215" s="12"/>
      <c r="C215" s="27"/>
      <c r="D215" s="27"/>
      <c r="E215" s="27"/>
      <c r="F215" s="27"/>
      <c r="G215" s="27"/>
      <c r="H215" s="34"/>
      <c r="I215" s="34"/>
      <c r="J215" s="27"/>
      <c r="K215" s="27"/>
      <c r="L215" s="27"/>
      <c r="M215" s="5"/>
      <c r="N215" s="27"/>
      <c r="O215" s="27"/>
      <c r="P215" s="5"/>
      <c r="Q215" s="31"/>
      <c r="R215" s="31"/>
      <c r="S215" s="23"/>
      <c r="T215" s="23"/>
      <c r="U215" s="13"/>
      <c r="V215" s="19"/>
      <c r="W215" s="19"/>
      <c r="X215" s="13"/>
      <c r="Y215" s="13"/>
      <c r="Z215" s="19"/>
      <c r="AA215" s="19"/>
    </row>
    <row r="216" spans="1:27" x14ac:dyDescent="0.25">
      <c r="A216" s="11"/>
      <c r="B216" s="12"/>
      <c r="C216" s="27"/>
      <c r="D216" s="27"/>
      <c r="E216" s="27"/>
      <c r="F216" s="27"/>
      <c r="G216" s="27"/>
      <c r="H216" s="34"/>
      <c r="I216" s="34"/>
      <c r="J216" s="27"/>
      <c r="K216" s="27"/>
      <c r="L216" s="27"/>
      <c r="M216" s="5"/>
      <c r="N216" s="27"/>
      <c r="O216" s="27"/>
      <c r="P216" s="5"/>
      <c r="Q216" s="31"/>
      <c r="R216" s="31"/>
      <c r="S216" s="23"/>
      <c r="T216" s="23"/>
      <c r="U216" s="13"/>
      <c r="V216" s="19"/>
      <c r="W216" s="19"/>
      <c r="X216" s="13"/>
      <c r="Y216" s="13"/>
      <c r="Z216" s="19"/>
      <c r="AA216" s="19"/>
    </row>
    <row r="217" spans="1:27" x14ac:dyDescent="0.25">
      <c r="A217" s="11"/>
      <c r="B217" s="12"/>
      <c r="C217" s="27"/>
      <c r="D217" s="27"/>
      <c r="E217" s="27"/>
      <c r="F217" s="27"/>
      <c r="G217" s="27"/>
      <c r="H217" s="34"/>
      <c r="I217" s="34"/>
      <c r="J217" s="27"/>
      <c r="K217" s="27"/>
      <c r="L217" s="27"/>
      <c r="M217" s="5"/>
      <c r="N217" s="27"/>
      <c r="O217" s="27"/>
      <c r="P217" s="5"/>
      <c r="Q217" s="31"/>
      <c r="R217" s="31"/>
      <c r="S217" s="23"/>
      <c r="T217" s="23"/>
      <c r="U217" s="13"/>
      <c r="V217" s="19"/>
      <c r="W217" s="19"/>
      <c r="X217" s="13"/>
      <c r="Y217" s="13"/>
      <c r="Z217" s="19"/>
      <c r="AA217" s="19"/>
    </row>
    <row r="218" spans="1:27" x14ac:dyDescent="0.25">
      <c r="A218" s="11"/>
      <c r="B218" s="12"/>
      <c r="C218" s="27"/>
      <c r="D218" s="27"/>
      <c r="E218" s="27"/>
      <c r="F218" s="27"/>
      <c r="G218" s="27"/>
      <c r="H218" s="34"/>
      <c r="I218" s="34"/>
      <c r="J218" s="27"/>
      <c r="K218" s="27"/>
      <c r="L218" s="27"/>
      <c r="M218" s="5"/>
      <c r="N218" s="27"/>
      <c r="O218" s="27"/>
      <c r="P218" s="5"/>
      <c r="Q218" s="31"/>
      <c r="R218" s="31"/>
      <c r="S218" s="23"/>
      <c r="T218" s="23"/>
      <c r="U218" s="13"/>
      <c r="V218" s="19"/>
      <c r="W218" s="19"/>
      <c r="X218" s="13"/>
      <c r="Y218" s="13"/>
      <c r="Z218" s="19"/>
      <c r="AA218" s="19"/>
    </row>
    <row r="219" spans="1:27" x14ac:dyDescent="0.25">
      <c r="A219" s="11"/>
      <c r="B219" s="12"/>
      <c r="C219" s="27"/>
      <c r="D219" s="27"/>
      <c r="E219" s="27"/>
      <c r="F219" s="27"/>
      <c r="G219" s="27"/>
      <c r="H219" s="34"/>
      <c r="I219" s="34"/>
      <c r="J219" s="27"/>
      <c r="K219" s="27"/>
      <c r="L219" s="27"/>
      <c r="M219" s="5"/>
      <c r="N219" s="27"/>
      <c r="O219" s="27"/>
      <c r="P219" s="5"/>
      <c r="Q219" s="31"/>
      <c r="R219" s="31"/>
      <c r="S219" s="23"/>
      <c r="T219" s="23"/>
      <c r="U219" s="13"/>
      <c r="V219" s="19"/>
      <c r="W219" s="19"/>
      <c r="X219" s="13"/>
      <c r="Y219" s="13"/>
      <c r="Z219" s="19"/>
      <c r="AA219" s="19"/>
    </row>
    <row r="220" spans="1:27" x14ac:dyDescent="0.25">
      <c r="A220" s="11"/>
      <c r="B220" s="12"/>
      <c r="C220" s="27"/>
      <c r="D220" s="27"/>
      <c r="E220" s="27"/>
      <c r="F220" s="27"/>
      <c r="G220" s="27"/>
      <c r="H220" s="34"/>
      <c r="I220" s="34"/>
      <c r="J220" s="27"/>
      <c r="K220" s="27"/>
      <c r="L220" s="27"/>
      <c r="M220" s="5"/>
      <c r="N220" s="27"/>
      <c r="O220" s="27"/>
      <c r="P220" s="5"/>
      <c r="Q220" s="31"/>
      <c r="R220" s="31"/>
      <c r="S220" s="23"/>
      <c r="T220" s="23"/>
      <c r="U220" s="13"/>
      <c r="V220" s="19"/>
      <c r="W220" s="19"/>
      <c r="X220" s="13"/>
      <c r="Y220" s="13"/>
      <c r="Z220" s="19"/>
      <c r="AA220" s="19"/>
    </row>
    <row r="221" spans="1:27" x14ac:dyDescent="0.25">
      <c r="A221" s="11"/>
      <c r="B221" s="12"/>
      <c r="C221" s="27"/>
      <c r="D221" s="27"/>
      <c r="E221" s="27"/>
      <c r="F221" s="27"/>
      <c r="G221" s="27"/>
      <c r="H221" s="34"/>
      <c r="I221" s="34"/>
      <c r="J221" s="27"/>
      <c r="K221" s="27"/>
      <c r="L221" s="27"/>
      <c r="M221" s="5"/>
      <c r="N221" s="27"/>
      <c r="O221" s="27"/>
      <c r="P221" s="5"/>
      <c r="Q221" s="31"/>
      <c r="R221" s="31"/>
      <c r="S221" s="23"/>
      <c r="T221" s="23"/>
      <c r="U221" s="13"/>
      <c r="V221" s="19"/>
      <c r="W221" s="19"/>
      <c r="X221" s="13"/>
      <c r="Y221" s="13"/>
      <c r="Z221" s="19"/>
      <c r="AA221" s="19"/>
    </row>
    <row r="222" spans="1:27" x14ac:dyDescent="0.25">
      <c r="A222" s="11"/>
      <c r="B222" s="12"/>
      <c r="C222" s="27"/>
      <c r="D222" s="27"/>
      <c r="E222" s="27"/>
      <c r="F222" s="27"/>
      <c r="G222" s="27"/>
      <c r="H222" s="34"/>
      <c r="I222" s="34"/>
      <c r="J222" s="27"/>
      <c r="K222" s="27"/>
      <c r="L222" s="27"/>
      <c r="M222" s="5"/>
      <c r="N222" s="27"/>
      <c r="O222" s="27"/>
      <c r="P222" s="5"/>
      <c r="Q222" s="31"/>
      <c r="R222" s="31"/>
      <c r="S222" s="23"/>
      <c r="T222" s="23"/>
      <c r="U222" s="13"/>
      <c r="V222" s="19"/>
      <c r="W222" s="19"/>
      <c r="X222" s="13"/>
      <c r="Y222" s="13"/>
      <c r="Z222" s="19"/>
      <c r="AA222" s="19"/>
    </row>
    <row r="223" spans="1:27" x14ac:dyDescent="0.25">
      <c r="A223" s="11"/>
      <c r="B223" s="12"/>
      <c r="C223" s="27"/>
      <c r="D223" s="27"/>
      <c r="E223" s="27"/>
      <c r="F223" s="27"/>
      <c r="G223" s="27"/>
      <c r="H223" s="34"/>
      <c r="I223" s="34"/>
      <c r="J223" s="27"/>
      <c r="K223" s="27"/>
      <c r="L223" s="27"/>
      <c r="M223" s="5"/>
      <c r="N223" s="27"/>
      <c r="O223" s="27"/>
      <c r="P223" s="5"/>
      <c r="Q223" s="31"/>
      <c r="R223" s="31"/>
      <c r="S223" s="23"/>
      <c r="T223" s="23"/>
      <c r="U223" s="13"/>
      <c r="V223" s="19"/>
      <c r="W223" s="19"/>
      <c r="X223" s="13"/>
      <c r="Y223" s="13"/>
      <c r="Z223" s="19"/>
      <c r="AA223" s="19"/>
    </row>
    <row r="224" spans="1:27" x14ac:dyDescent="0.25">
      <c r="A224" s="11"/>
      <c r="B224" s="12"/>
      <c r="C224" s="27"/>
      <c r="D224" s="27"/>
      <c r="E224" s="27"/>
      <c r="F224" s="27"/>
      <c r="G224" s="27"/>
      <c r="H224" s="34"/>
      <c r="I224" s="34"/>
      <c r="J224" s="27"/>
      <c r="K224" s="27"/>
      <c r="L224" s="27"/>
      <c r="M224" s="5"/>
      <c r="N224" s="27"/>
      <c r="O224" s="27"/>
      <c r="P224" s="5"/>
      <c r="Q224" s="31"/>
      <c r="R224" s="31"/>
      <c r="S224" s="23"/>
      <c r="T224" s="23"/>
      <c r="U224" s="13"/>
      <c r="V224" s="19"/>
      <c r="W224" s="19"/>
      <c r="X224" s="13"/>
      <c r="Y224" s="13"/>
      <c r="Z224" s="19"/>
      <c r="AA224" s="19"/>
    </row>
    <row r="225" spans="1:27" x14ac:dyDescent="0.25">
      <c r="A225" s="11"/>
      <c r="B225" s="12"/>
      <c r="C225" s="27"/>
      <c r="D225" s="27"/>
      <c r="E225" s="27"/>
      <c r="F225" s="27"/>
      <c r="G225" s="27"/>
      <c r="H225" s="34"/>
      <c r="I225" s="34"/>
      <c r="J225" s="27"/>
      <c r="K225" s="27"/>
      <c r="L225" s="27"/>
      <c r="M225" s="5"/>
      <c r="N225" s="27"/>
      <c r="O225" s="27"/>
      <c r="P225" s="5"/>
      <c r="Q225" s="31"/>
      <c r="R225" s="31"/>
      <c r="S225" s="23"/>
      <c r="T225" s="23"/>
      <c r="U225" s="13"/>
      <c r="V225" s="19"/>
      <c r="W225" s="19"/>
      <c r="X225" s="13"/>
      <c r="Y225" s="13"/>
      <c r="Z225" s="19"/>
      <c r="AA225" s="19"/>
    </row>
    <row r="226" spans="1:27" x14ac:dyDescent="0.25">
      <c r="A226" s="11"/>
      <c r="B226" s="12"/>
      <c r="C226" s="27"/>
      <c r="D226" s="27"/>
      <c r="E226" s="27"/>
      <c r="F226" s="27"/>
      <c r="G226" s="27"/>
      <c r="H226" s="34"/>
      <c r="I226" s="34"/>
      <c r="J226" s="27"/>
      <c r="K226" s="27"/>
      <c r="L226" s="27"/>
      <c r="M226" s="5"/>
      <c r="N226" s="27"/>
      <c r="O226" s="27"/>
      <c r="P226" s="5"/>
      <c r="Q226" s="31"/>
      <c r="R226" s="31"/>
      <c r="S226" s="23"/>
      <c r="T226" s="23"/>
      <c r="U226" s="13"/>
      <c r="V226" s="19"/>
      <c r="W226" s="19"/>
      <c r="X226" s="13"/>
      <c r="Y226" s="13"/>
      <c r="Z226" s="19"/>
      <c r="AA226" s="19"/>
    </row>
    <row r="227" spans="1:27" x14ac:dyDescent="0.25">
      <c r="A227" s="11"/>
      <c r="B227" s="12"/>
      <c r="C227" s="27"/>
      <c r="D227" s="27"/>
      <c r="E227" s="27"/>
      <c r="F227" s="27"/>
      <c r="G227" s="27"/>
      <c r="H227" s="34"/>
      <c r="I227" s="34"/>
      <c r="J227" s="27"/>
      <c r="K227" s="27"/>
      <c r="L227" s="27"/>
      <c r="M227" s="5"/>
      <c r="N227" s="27"/>
      <c r="O227" s="27"/>
      <c r="P227" s="5"/>
      <c r="Q227" s="31"/>
      <c r="R227" s="31"/>
      <c r="S227" s="23"/>
      <c r="T227" s="23"/>
      <c r="U227" s="13"/>
      <c r="V227" s="19"/>
      <c r="W227" s="19"/>
      <c r="X227" s="13"/>
      <c r="Y227" s="13"/>
      <c r="Z227" s="19"/>
      <c r="AA227" s="19"/>
    </row>
    <row r="228" spans="1:27" x14ac:dyDescent="0.25">
      <c r="A228" s="11"/>
      <c r="B228" s="12"/>
      <c r="C228" s="27"/>
      <c r="D228" s="27"/>
      <c r="E228" s="27"/>
      <c r="F228" s="27"/>
      <c r="G228" s="27"/>
      <c r="H228" s="34"/>
      <c r="I228" s="34"/>
      <c r="J228" s="27"/>
      <c r="K228" s="27"/>
      <c r="L228" s="27"/>
      <c r="M228" s="5"/>
      <c r="N228" s="27"/>
      <c r="O228" s="27"/>
      <c r="P228" s="5"/>
      <c r="Q228" s="31"/>
      <c r="R228" s="31"/>
      <c r="S228" s="23"/>
      <c r="T228" s="23"/>
      <c r="U228" s="13"/>
      <c r="V228" s="19"/>
      <c r="W228" s="19"/>
      <c r="X228" s="13"/>
      <c r="Y228" s="13"/>
      <c r="Z228" s="19"/>
      <c r="AA228" s="19"/>
    </row>
    <row r="229" spans="1:27" x14ac:dyDescent="0.25">
      <c r="A229" s="11"/>
      <c r="B229" s="12"/>
      <c r="C229" s="27"/>
      <c r="D229" s="27"/>
      <c r="E229" s="27"/>
      <c r="F229" s="27"/>
      <c r="G229" s="27"/>
      <c r="H229" s="34"/>
      <c r="I229" s="34"/>
      <c r="J229" s="27"/>
      <c r="K229" s="27"/>
      <c r="L229" s="27"/>
      <c r="M229" s="5"/>
      <c r="N229" s="27"/>
      <c r="O229" s="27"/>
      <c r="P229" s="5"/>
      <c r="Q229" s="31"/>
      <c r="R229" s="31"/>
      <c r="S229" s="23"/>
      <c r="T229" s="23"/>
      <c r="U229" s="13"/>
      <c r="V229" s="19"/>
      <c r="W229" s="19"/>
      <c r="X229" s="13"/>
      <c r="Y229" s="13"/>
      <c r="Z229" s="19"/>
      <c r="AA229" s="19"/>
    </row>
    <row r="230" spans="1:27" x14ac:dyDescent="0.25">
      <c r="A230" s="11"/>
      <c r="B230" s="12"/>
      <c r="C230" s="27"/>
      <c r="D230" s="27"/>
      <c r="E230" s="27"/>
      <c r="F230" s="27"/>
      <c r="G230" s="27"/>
      <c r="H230" s="34"/>
      <c r="I230" s="34"/>
      <c r="J230" s="27"/>
      <c r="K230" s="27"/>
      <c r="L230" s="27"/>
      <c r="M230" s="5"/>
      <c r="N230" s="27"/>
      <c r="O230" s="27"/>
      <c r="P230" s="5"/>
      <c r="Q230" s="31"/>
      <c r="R230" s="31"/>
      <c r="S230" s="23"/>
      <c r="T230" s="23"/>
      <c r="U230" s="13"/>
      <c r="V230" s="19"/>
      <c r="W230" s="19"/>
      <c r="X230" s="13"/>
      <c r="Y230" s="13"/>
      <c r="Z230" s="19"/>
      <c r="AA230" s="19"/>
    </row>
    <row r="231" spans="1:27" x14ac:dyDescent="0.25">
      <c r="A231" s="11"/>
      <c r="B231" s="12"/>
      <c r="C231" s="27"/>
      <c r="D231" s="27"/>
      <c r="E231" s="27"/>
      <c r="F231" s="27"/>
      <c r="G231" s="27"/>
      <c r="H231" s="34"/>
      <c r="I231" s="34"/>
      <c r="J231" s="27"/>
      <c r="K231" s="27"/>
      <c r="L231" s="27"/>
      <c r="M231" s="5"/>
      <c r="N231" s="27"/>
      <c r="O231" s="27"/>
      <c r="P231" s="5"/>
      <c r="Q231" s="31"/>
      <c r="R231" s="31"/>
      <c r="S231" s="23"/>
      <c r="T231" s="23"/>
      <c r="U231" s="13"/>
      <c r="V231" s="19"/>
      <c r="W231" s="19"/>
      <c r="X231" s="13"/>
      <c r="Y231" s="13"/>
      <c r="Z231" s="19"/>
      <c r="AA231" s="19"/>
    </row>
    <row r="232" spans="1:27" x14ac:dyDescent="0.25">
      <c r="A232" s="11"/>
      <c r="B232" s="12"/>
      <c r="C232" s="27"/>
      <c r="D232" s="27"/>
      <c r="E232" s="27"/>
      <c r="F232" s="27"/>
      <c r="G232" s="27"/>
      <c r="H232" s="34"/>
      <c r="I232" s="34"/>
      <c r="J232" s="27"/>
      <c r="K232" s="27"/>
      <c r="L232" s="27"/>
      <c r="M232" s="5"/>
      <c r="N232" s="27"/>
      <c r="O232" s="27"/>
      <c r="P232" s="5"/>
      <c r="Q232" s="31"/>
      <c r="R232" s="31"/>
      <c r="S232" s="23"/>
      <c r="T232" s="23"/>
      <c r="U232" s="13"/>
      <c r="V232" s="19"/>
      <c r="W232" s="19"/>
      <c r="X232" s="13"/>
      <c r="Y232" s="13"/>
      <c r="Z232" s="19"/>
      <c r="AA232" s="19"/>
    </row>
    <row r="233" spans="1:27" x14ac:dyDescent="0.25">
      <c r="A233" s="11"/>
      <c r="B233" s="12"/>
      <c r="C233" s="27"/>
      <c r="D233" s="27"/>
      <c r="E233" s="27"/>
      <c r="F233" s="27"/>
      <c r="G233" s="27"/>
      <c r="H233" s="34"/>
      <c r="I233" s="34"/>
      <c r="J233" s="27"/>
      <c r="K233" s="27"/>
      <c r="L233" s="27"/>
      <c r="M233" s="5"/>
      <c r="N233" s="27"/>
      <c r="O233" s="27"/>
      <c r="P233" s="5"/>
      <c r="Q233" s="31"/>
      <c r="R233" s="31"/>
      <c r="S233" s="23"/>
      <c r="T233" s="23"/>
      <c r="U233" s="13"/>
      <c r="V233" s="19"/>
      <c r="W233" s="19"/>
      <c r="X233" s="13"/>
      <c r="Y233" s="13"/>
      <c r="Z233" s="19"/>
      <c r="AA233" s="19"/>
    </row>
    <row r="234" spans="1:27" x14ac:dyDescent="0.25">
      <c r="A234" s="11"/>
      <c r="B234" s="12"/>
      <c r="C234" s="27"/>
      <c r="D234" s="27"/>
      <c r="E234" s="27"/>
      <c r="F234" s="27"/>
      <c r="G234" s="27"/>
      <c r="H234" s="34"/>
      <c r="I234" s="34"/>
      <c r="J234" s="27"/>
      <c r="K234" s="27"/>
      <c r="L234" s="27"/>
      <c r="M234" s="5"/>
      <c r="N234" s="27"/>
      <c r="O234" s="27"/>
      <c r="P234" s="5"/>
      <c r="Q234" s="31"/>
      <c r="R234" s="31"/>
      <c r="S234" s="23"/>
      <c r="T234" s="23"/>
      <c r="U234" s="13"/>
      <c r="V234" s="19"/>
      <c r="W234" s="19"/>
      <c r="X234" s="13"/>
      <c r="Y234" s="13"/>
      <c r="Z234" s="19"/>
      <c r="AA234" s="19"/>
    </row>
    <row r="235" spans="1:27" x14ac:dyDescent="0.25">
      <c r="A235" s="11"/>
      <c r="B235" s="12"/>
      <c r="C235" s="27"/>
      <c r="D235" s="27"/>
      <c r="E235" s="27"/>
      <c r="F235" s="27"/>
      <c r="G235" s="27"/>
      <c r="H235" s="34"/>
      <c r="I235" s="34"/>
      <c r="J235" s="27"/>
      <c r="K235" s="27"/>
      <c r="L235" s="27"/>
      <c r="M235" s="5"/>
      <c r="N235" s="27"/>
      <c r="O235" s="27"/>
      <c r="P235" s="5"/>
      <c r="Q235" s="31"/>
      <c r="R235" s="31"/>
      <c r="S235" s="23"/>
      <c r="T235" s="23"/>
      <c r="U235" s="13"/>
      <c r="V235" s="19"/>
      <c r="W235" s="19"/>
      <c r="X235" s="13"/>
      <c r="Y235" s="13"/>
      <c r="Z235" s="19"/>
      <c r="AA235" s="19"/>
    </row>
    <row r="236" spans="1:27" x14ac:dyDescent="0.25">
      <c r="A236" s="11"/>
      <c r="B236" s="12"/>
      <c r="C236" s="27"/>
      <c r="D236" s="27"/>
      <c r="E236" s="27"/>
      <c r="F236" s="27"/>
      <c r="G236" s="27"/>
      <c r="H236" s="34"/>
      <c r="I236" s="34"/>
      <c r="J236" s="27"/>
      <c r="K236" s="27"/>
      <c r="L236" s="27"/>
      <c r="M236" s="5"/>
      <c r="N236" s="27"/>
      <c r="O236" s="27"/>
      <c r="P236" s="5"/>
      <c r="Q236" s="31"/>
      <c r="R236" s="31"/>
      <c r="S236" s="23"/>
      <c r="T236" s="23"/>
      <c r="U236" s="13"/>
      <c r="V236" s="19"/>
      <c r="W236" s="19"/>
      <c r="X236" s="13"/>
      <c r="Y236" s="13"/>
      <c r="Z236" s="19"/>
      <c r="AA236" s="19"/>
    </row>
    <row r="237" spans="1:27" x14ac:dyDescent="0.25">
      <c r="A237" s="11"/>
      <c r="B237" s="12"/>
      <c r="C237" s="27"/>
      <c r="D237" s="27"/>
      <c r="E237" s="27"/>
      <c r="F237" s="27"/>
      <c r="G237" s="27"/>
      <c r="H237" s="34"/>
      <c r="I237" s="34"/>
      <c r="J237" s="27"/>
      <c r="K237" s="27"/>
      <c r="L237" s="27"/>
      <c r="M237" s="5"/>
      <c r="N237" s="27"/>
      <c r="O237" s="27"/>
      <c r="P237" s="5"/>
      <c r="Q237" s="31"/>
      <c r="R237" s="31"/>
      <c r="S237" s="23"/>
      <c r="T237" s="23"/>
      <c r="U237" s="13"/>
      <c r="V237" s="19"/>
      <c r="W237" s="19"/>
      <c r="X237" s="13"/>
      <c r="Y237" s="13"/>
      <c r="Z237" s="19"/>
      <c r="AA237" s="19"/>
    </row>
    <row r="238" spans="1:27" x14ac:dyDescent="0.25">
      <c r="A238" s="11"/>
      <c r="B238" s="12"/>
      <c r="C238" s="27"/>
      <c r="D238" s="27"/>
      <c r="E238" s="27"/>
      <c r="F238" s="27"/>
      <c r="G238" s="27"/>
      <c r="H238" s="34"/>
      <c r="I238" s="34"/>
      <c r="J238" s="27"/>
      <c r="K238" s="27"/>
      <c r="L238" s="27"/>
      <c r="M238" s="5"/>
      <c r="N238" s="27"/>
      <c r="O238" s="27"/>
      <c r="P238" s="5"/>
      <c r="Q238" s="31"/>
      <c r="R238" s="31"/>
      <c r="S238" s="23"/>
      <c r="T238" s="23"/>
      <c r="U238" s="13"/>
      <c r="V238" s="19"/>
      <c r="W238" s="19"/>
      <c r="X238" s="13"/>
      <c r="Y238" s="13"/>
      <c r="Z238" s="19"/>
      <c r="AA238" s="19"/>
    </row>
    <row r="239" spans="1:27" x14ac:dyDescent="0.25">
      <c r="A239" s="11"/>
      <c r="B239" s="12"/>
      <c r="C239" s="27"/>
      <c r="D239" s="27"/>
      <c r="E239" s="27"/>
      <c r="F239" s="27"/>
      <c r="G239" s="27"/>
      <c r="H239" s="34"/>
      <c r="I239" s="34"/>
      <c r="J239" s="27"/>
      <c r="K239" s="27"/>
      <c r="L239" s="27"/>
      <c r="M239" s="5"/>
      <c r="N239" s="27"/>
      <c r="O239" s="27"/>
      <c r="P239" s="5"/>
      <c r="Q239" s="31"/>
      <c r="R239" s="31"/>
      <c r="S239" s="23"/>
      <c r="T239" s="23"/>
      <c r="U239" s="13"/>
      <c r="V239" s="19"/>
      <c r="W239" s="19"/>
      <c r="X239" s="13"/>
      <c r="Y239" s="13"/>
      <c r="Z239" s="19"/>
      <c r="AA239" s="19"/>
    </row>
    <row r="240" spans="1:27" x14ac:dyDescent="0.25">
      <c r="A240" s="11"/>
      <c r="B240" s="12"/>
      <c r="C240" s="27"/>
      <c r="D240" s="27"/>
      <c r="E240" s="27"/>
      <c r="F240" s="27"/>
      <c r="G240" s="27"/>
      <c r="H240" s="34"/>
      <c r="I240" s="34"/>
      <c r="J240" s="27"/>
      <c r="K240" s="27"/>
      <c r="L240" s="27"/>
      <c r="M240" s="5"/>
      <c r="N240" s="27"/>
      <c r="O240" s="27"/>
      <c r="P240" s="5"/>
      <c r="Q240" s="31"/>
      <c r="R240" s="31"/>
      <c r="S240" s="23"/>
      <c r="T240" s="23"/>
      <c r="U240" s="13"/>
      <c r="V240" s="19"/>
      <c r="W240" s="19"/>
      <c r="X240" s="13"/>
      <c r="Y240" s="13"/>
      <c r="Z240" s="19"/>
      <c r="AA240" s="19"/>
    </row>
    <row r="241" spans="1:27" x14ac:dyDescent="0.25">
      <c r="A241" s="11"/>
      <c r="B241" s="12"/>
      <c r="C241" s="27"/>
      <c r="D241" s="27"/>
      <c r="E241" s="27"/>
      <c r="F241" s="27"/>
      <c r="G241" s="27"/>
      <c r="H241" s="34"/>
      <c r="I241" s="34"/>
      <c r="J241" s="27"/>
      <c r="K241" s="27"/>
      <c r="L241" s="27"/>
      <c r="M241" s="5"/>
      <c r="N241" s="27"/>
      <c r="O241" s="27"/>
      <c r="P241" s="5"/>
      <c r="Q241" s="31"/>
      <c r="R241" s="31"/>
      <c r="S241" s="23"/>
      <c r="T241" s="23"/>
      <c r="U241" s="13"/>
      <c r="V241" s="19"/>
      <c r="W241" s="19"/>
      <c r="X241" s="13"/>
      <c r="Y241" s="13"/>
      <c r="Z241" s="19"/>
      <c r="AA241" s="19"/>
    </row>
    <row r="242" spans="1:27" x14ac:dyDescent="0.25">
      <c r="A242" s="11"/>
      <c r="B242" s="12"/>
      <c r="C242" s="27"/>
      <c r="D242" s="27"/>
      <c r="E242" s="27"/>
      <c r="F242" s="27"/>
      <c r="G242" s="27"/>
      <c r="H242" s="34"/>
      <c r="I242" s="34"/>
      <c r="J242" s="27"/>
      <c r="K242" s="27"/>
      <c r="L242" s="27"/>
      <c r="M242" s="5"/>
      <c r="N242" s="27"/>
      <c r="O242" s="27"/>
      <c r="P242" s="5"/>
      <c r="Q242" s="31"/>
      <c r="R242" s="31"/>
      <c r="S242" s="23"/>
      <c r="T242" s="23"/>
      <c r="U242" s="13"/>
      <c r="V242" s="19"/>
      <c r="W242" s="19"/>
      <c r="X242" s="13"/>
      <c r="Y242" s="13"/>
      <c r="Z242" s="19"/>
      <c r="AA242" s="19"/>
    </row>
    <row r="243" spans="1:27" x14ac:dyDescent="0.25">
      <c r="A243" s="11"/>
      <c r="B243" s="12"/>
      <c r="C243" s="27"/>
      <c r="D243" s="27"/>
      <c r="E243" s="27"/>
      <c r="F243" s="27"/>
      <c r="G243" s="27"/>
      <c r="H243" s="34"/>
      <c r="I243" s="34"/>
      <c r="J243" s="27"/>
      <c r="K243" s="27"/>
      <c r="L243" s="27"/>
      <c r="M243" s="5"/>
      <c r="N243" s="27"/>
      <c r="O243" s="27"/>
      <c r="P243" s="5"/>
      <c r="Q243" s="31"/>
      <c r="R243" s="31"/>
      <c r="S243" s="23"/>
      <c r="T243" s="23"/>
      <c r="U243" s="13"/>
      <c r="V243" s="19"/>
      <c r="W243" s="19"/>
      <c r="X243" s="13"/>
      <c r="Y243" s="13"/>
      <c r="Z243" s="19"/>
      <c r="AA243" s="19"/>
    </row>
    <row r="244" spans="1:27" x14ac:dyDescent="0.25">
      <c r="A244" s="11"/>
      <c r="B244" s="12"/>
      <c r="C244" s="27"/>
      <c r="D244" s="27"/>
      <c r="E244" s="27"/>
      <c r="F244" s="27"/>
      <c r="G244" s="27"/>
      <c r="H244" s="34"/>
      <c r="I244" s="34"/>
      <c r="J244" s="27"/>
      <c r="K244" s="27"/>
      <c r="L244" s="27"/>
      <c r="M244" s="5"/>
      <c r="N244" s="27"/>
      <c r="O244" s="27"/>
      <c r="P244" s="5"/>
      <c r="Q244" s="31"/>
      <c r="R244" s="31"/>
      <c r="S244" s="23"/>
      <c r="T244" s="23"/>
      <c r="U244" s="13"/>
      <c r="V244" s="19"/>
      <c r="W244" s="19"/>
      <c r="X244" s="13"/>
      <c r="Y244" s="13"/>
      <c r="Z244" s="19"/>
      <c r="AA244" s="19"/>
    </row>
    <row r="245" spans="1:27" x14ac:dyDescent="0.25">
      <c r="A245" s="11"/>
      <c r="B245" s="12"/>
      <c r="C245" s="27"/>
      <c r="D245" s="27"/>
      <c r="E245" s="27"/>
      <c r="F245" s="27"/>
      <c r="G245" s="27"/>
      <c r="H245" s="34"/>
      <c r="I245" s="34"/>
      <c r="J245" s="27"/>
      <c r="K245" s="27"/>
      <c r="L245" s="27"/>
      <c r="M245" s="5"/>
      <c r="N245" s="27"/>
      <c r="O245" s="27"/>
      <c r="P245" s="5"/>
      <c r="Q245" s="31"/>
      <c r="R245" s="31"/>
      <c r="S245" s="23"/>
      <c r="T245" s="23"/>
      <c r="U245" s="13"/>
      <c r="V245" s="19"/>
      <c r="W245" s="19"/>
      <c r="X245" s="13"/>
      <c r="Y245" s="13"/>
      <c r="Z245" s="19"/>
      <c r="AA245" s="19"/>
    </row>
    <row r="246" spans="1:27" x14ac:dyDescent="0.25">
      <c r="A246" s="11"/>
      <c r="B246" s="12"/>
      <c r="C246" s="27"/>
      <c r="D246" s="27"/>
      <c r="E246" s="27"/>
      <c r="F246" s="27"/>
      <c r="G246" s="27"/>
      <c r="H246" s="34"/>
      <c r="I246" s="34"/>
      <c r="J246" s="27"/>
      <c r="K246" s="27"/>
      <c r="L246" s="27"/>
      <c r="M246" s="5"/>
      <c r="N246" s="27"/>
      <c r="O246" s="27"/>
      <c r="P246" s="5"/>
      <c r="Q246" s="31"/>
      <c r="R246" s="31"/>
      <c r="S246" s="23"/>
      <c r="T246" s="23"/>
      <c r="U246" s="13"/>
      <c r="V246" s="19"/>
      <c r="W246" s="19"/>
      <c r="X246" s="13"/>
      <c r="Y246" s="13"/>
      <c r="Z246" s="19"/>
      <c r="AA246" s="19"/>
    </row>
    <row r="247" spans="1:27" x14ac:dyDescent="0.25">
      <c r="A247" s="11"/>
      <c r="B247" s="12"/>
      <c r="C247" s="27"/>
      <c r="D247" s="27"/>
      <c r="E247" s="27"/>
      <c r="F247" s="27"/>
      <c r="G247" s="27"/>
      <c r="H247" s="34"/>
      <c r="I247" s="34"/>
      <c r="J247" s="27"/>
      <c r="K247" s="27"/>
      <c r="L247" s="27"/>
      <c r="M247" s="5"/>
      <c r="N247" s="27"/>
      <c r="O247" s="27"/>
      <c r="P247" s="5"/>
      <c r="Q247" s="31"/>
      <c r="R247" s="31"/>
      <c r="S247" s="23"/>
      <c r="T247" s="23"/>
      <c r="U247" s="13"/>
      <c r="V247" s="19"/>
      <c r="W247" s="19"/>
      <c r="X247" s="13"/>
      <c r="Y247" s="13"/>
      <c r="Z247" s="19"/>
      <c r="AA247" s="19"/>
    </row>
    <row r="248" spans="1:27" x14ac:dyDescent="0.25">
      <c r="A248" s="11"/>
      <c r="B248" s="12"/>
      <c r="C248" s="27"/>
      <c r="D248" s="27"/>
      <c r="E248" s="27"/>
      <c r="F248" s="27"/>
      <c r="G248" s="27"/>
      <c r="H248" s="34"/>
      <c r="I248" s="34"/>
      <c r="J248" s="27"/>
      <c r="K248" s="27"/>
      <c r="L248" s="27"/>
      <c r="M248" s="5"/>
      <c r="N248" s="27"/>
      <c r="O248" s="27"/>
      <c r="P248" s="5"/>
      <c r="Q248" s="31"/>
      <c r="R248" s="31"/>
      <c r="S248" s="23"/>
      <c r="T248" s="23"/>
      <c r="U248" s="13"/>
      <c r="V248" s="19"/>
      <c r="W248" s="19"/>
      <c r="X248" s="13"/>
      <c r="Y248" s="13"/>
      <c r="Z248" s="19"/>
      <c r="AA248" s="19"/>
    </row>
    <row r="249" spans="1:27" x14ac:dyDescent="0.25">
      <c r="A249" s="11"/>
      <c r="B249" s="12"/>
      <c r="C249" s="27"/>
      <c r="D249" s="27"/>
      <c r="E249" s="27"/>
      <c r="F249" s="27"/>
      <c r="G249" s="27"/>
      <c r="H249" s="34"/>
      <c r="I249" s="34"/>
      <c r="J249" s="27"/>
      <c r="K249" s="27"/>
      <c r="L249" s="27"/>
      <c r="M249" s="5"/>
      <c r="N249" s="27"/>
      <c r="O249" s="27"/>
      <c r="P249" s="5"/>
      <c r="Q249" s="31"/>
      <c r="R249" s="31"/>
      <c r="S249" s="23"/>
      <c r="T249" s="23"/>
      <c r="U249" s="13"/>
      <c r="V249" s="19"/>
      <c r="W249" s="19"/>
      <c r="X249" s="13"/>
      <c r="Y249" s="13"/>
      <c r="Z249" s="19"/>
      <c r="AA249" s="19"/>
    </row>
    <row r="250" spans="1:27" x14ac:dyDescent="0.25">
      <c r="A250" s="11"/>
      <c r="B250" s="12"/>
      <c r="C250" s="27"/>
      <c r="D250" s="27"/>
      <c r="E250" s="27"/>
      <c r="F250" s="27"/>
      <c r="G250" s="27"/>
      <c r="H250" s="34"/>
      <c r="I250" s="34"/>
      <c r="J250" s="27"/>
      <c r="K250" s="27"/>
      <c r="L250" s="27"/>
      <c r="M250" s="5"/>
      <c r="N250" s="27"/>
      <c r="O250" s="27"/>
      <c r="P250" s="5"/>
      <c r="Q250" s="31"/>
      <c r="R250" s="31"/>
      <c r="S250" s="23"/>
      <c r="T250" s="23"/>
      <c r="U250" s="13"/>
      <c r="V250" s="19"/>
      <c r="W250" s="19"/>
      <c r="X250" s="13"/>
      <c r="Y250" s="13"/>
      <c r="Z250" s="19"/>
      <c r="AA250" s="19"/>
    </row>
    <row r="251" spans="1:27" x14ac:dyDescent="0.25">
      <c r="A251" s="11"/>
      <c r="B251" s="12"/>
      <c r="C251" s="27"/>
      <c r="D251" s="27"/>
      <c r="E251" s="27"/>
      <c r="F251" s="27"/>
      <c r="G251" s="27"/>
      <c r="H251" s="34"/>
      <c r="I251" s="34"/>
      <c r="J251" s="27"/>
      <c r="K251" s="27"/>
      <c r="L251" s="27"/>
      <c r="M251" s="5"/>
      <c r="N251" s="27"/>
      <c r="O251" s="27"/>
      <c r="P251" s="5"/>
      <c r="Q251" s="31"/>
      <c r="R251" s="31"/>
      <c r="S251" s="23"/>
      <c r="T251" s="23"/>
      <c r="U251" s="13"/>
      <c r="V251" s="19"/>
      <c r="W251" s="19"/>
      <c r="X251" s="13"/>
      <c r="Y251" s="13"/>
      <c r="Z251" s="19"/>
      <c r="AA251" s="19"/>
    </row>
    <row r="252" spans="1:27" x14ac:dyDescent="0.25">
      <c r="A252" s="11"/>
      <c r="B252" s="12"/>
      <c r="C252" s="27"/>
      <c r="D252" s="27"/>
      <c r="E252" s="27"/>
      <c r="F252" s="27"/>
      <c r="G252" s="27"/>
      <c r="H252" s="34"/>
      <c r="I252" s="34"/>
      <c r="J252" s="27"/>
      <c r="K252" s="27"/>
      <c r="L252" s="27"/>
      <c r="M252" s="5"/>
      <c r="N252" s="27"/>
      <c r="O252" s="27"/>
      <c r="P252" s="5"/>
      <c r="Q252" s="31"/>
      <c r="R252" s="31"/>
      <c r="S252" s="23"/>
      <c r="T252" s="23"/>
      <c r="U252" s="13"/>
      <c r="V252" s="19"/>
      <c r="W252" s="19"/>
      <c r="X252" s="13"/>
      <c r="Y252" s="13"/>
      <c r="Z252" s="19"/>
      <c r="AA252" s="19"/>
    </row>
    <row r="253" spans="1:27" x14ac:dyDescent="0.25">
      <c r="A253" s="11"/>
      <c r="B253" s="12"/>
      <c r="C253" s="27"/>
      <c r="D253" s="27"/>
      <c r="E253" s="27"/>
      <c r="F253" s="27"/>
      <c r="G253" s="27"/>
      <c r="H253" s="34"/>
      <c r="I253" s="34"/>
      <c r="J253" s="27"/>
      <c r="K253" s="27"/>
      <c r="L253" s="27"/>
      <c r="M253" s="5"/>
      <c r="N253" s="27"/>
      <c r="O253" s="27"/>
      <c r="P253" s="5"/>
      <c r="Q253" s="31"/>
      <c r="R253" s="31"/>
      <c r="S253" s="23"/>
      <c r="T253" s="23"/>
      <c r="U253" s="13"/>
      <c r="V253" s="19"/>
      <c r="W253" s="19"/>
      <c r="X253" s="13"/>
      <c r="Y253" s="13"/>
      <c r="Z253" s="19"/>
      <c r="AA253" s="19"/>
    </row>
    <row r="254" spans="1:27" x14ac:dyDescent="0.25">
      <c r="A254" s="11"/>
      <c r="B254" s="12"/>
      <c r="C254" s="27"/>
      <c r="D254" s="27"/>
      <c r="E254" s="27"/>
      <c r="F254" s="27"/>
      <c r="G254" s="27"/>
      <c r="H254" s="34"/>
      <c r="I254" s="34"/>
      <c r="J254" s="27"/>
      <c r="K254" s="27"/>
      <c r="L254" s="27"/>
      <c r="M254" s="5"/>
      <c r="N254" s="27"/>
      <c r="O254" s="27"/>
      <c r="P254" s="5"/>
      <c r="Q254" s="31"/>
      <c r="R254" s="31"/>
      <c r="S254" s="23"/>
      <c r="T254" s="23"/>
      <c r="U254" s="13"/>
      <c r="V254" s="19"/>
      <c r="W254" s="19"/>
      <c r="X254" s="13"/>
      <c r="Y254" s="13"/>
      <c r="Z254" s="19"/>
      <c r="AA254" s="19"/>
    </row>
    <row r="255" spans="1:27" x14ac:dyDescent="0.25">
      <c r="A255" s="11"/>
      <c r="B255" s="12"/>
      <c r="C255" s="27"/>
      <c r="D255" s="27"/>
      <c r="E255" s="27"/>
      <c r="F255" s="27"/>
      <c r="G255" s="27"/>
      <c r="H255" s="34"/>
      <c r="I255" s="34"/>
      <c r="J255" s="27"/>
      <c r="K255" s="27"/>
      <c r="L255" s="27"/>
      <c r="M255" s="5"/>
      <c r="N255" s="27"/>
      <c r="O255" s="27"/>
      <c r="P255" s="5"/>
      <c r="Q255" s="31"/>
      <c r="R255" s="31"/>
      <c r="S255" s="23"/>
      <c r="T255" s="23"/>
      <c r="U255" s="13"/>
      <c r="V255" s="19"/>
      <c r="W255" s="19"/>
      <c r="X255" s="13"/>
      <c r="Y255" s="13"/>
      <c r="Z255" s="19"/>
      <c r="AA255" s="19"/>
    </row>
    <row r="256" spans="1:27" x14ac:dyDescent="0.25">
      <c r="A256" s="11"/>
      <c r="B256" s="12"/>
      <c r="C256" s="27"/>
      <c r="D256" s="27"/>
      <c r="E256" s="27"/>
      <c r="F256" s="27"/>
      <c r="G256" s="27"/>
      <c r="H256" s="34"/>
      <c r="I256" s="34"/>
      <c r="J256" s="27"/>
      <c r="K256" s="27"/>
      <c r="L256" s="27"/>
      <c r="M256" s="5"/>
      <c r="N256" s="27"/>
      <c r="O256" s="27"/>
      <c r="P256" s="5"/>
      <c r="Q256" s="31"/>
      <c r="R256" s="31"/>
      <c r="S256" s="23"/>
      <c r="T256" s="23"/>
      <c r="U256" s="13"/>
      <c r="V256" s="19"/>
      <c r="W256" s="19"/>
      <c r="X256" s="13"/>
      <c r="Y256" s="13"/>
      <c r="Z256" s="19"/>
      <c r="AA256" s="19"/>
    </row>
    <row r="257" spans="1:27" x14ac:dyDescent="0.25">
      <c r="A257" s="11"/>
      <c r="B257" s="12"/>
      <c r="C257" s="27"/>
      <c r="D257" s="27"/>
      <c r="E257" s="27"/>
      <c r="F257" s="27"/>
      <c r="G257" s="27"/>
      <c r="H257" s="34"/>
      <c r="I257" s="34"/>
      <c r="J257" s="27"/>
      <c r="K257" s="27"/>
      <c r="L257" s="27"/>
      <c r="M257" s="5"/>
      <c r="N257" s="27"/>
      <c r="O257" s="27"/>
      <c r="P257" s="5"/>
      <c r="Q257" s="31"/>
      <c r="R257" s="31"/>
      <c r="S257" s="23"/>
      <c r="T257" s="23"/>
      <c r="U257" s="13"/>
      <c r="V257" s="19"/>
      <c r="W257" s="19"/>
      <c r="X257" s="13"/>
      <c r="Y257" s="13"/>
      <c r="Z257" s="19"/>
      <c r="AA257" s="19"/>
    </row>
    <row r="258" spans="1:27" x14ac:dyDescent="0.25">
      <c r="A258" s="11"/>
      <c r="B258" s="12"/>
      <c r="C258" s="27"/>
      <c r="D258" s="27"/>
      <c r="E258" s="27"/>
      <c r="F258" s="27"/>
      <c r="G258" s="27"/>
      <c r="H258" s="34"/>
      <c r="I258" s="34"/>
      <c r="J258" s="27"/>
      <c r="K258" s="27"/>
      <c r="L258" s="27"/>
      <c r="M258" s="5"/>
      <c r="N258" s="27"/>
      <c r="O258" s="27"/>
      <c r="P258" s="5"/>
      <c r="Q258" s="31"/>
      <c r="R258" s="31"/>
      <c r="S258" s="23"/>
      <c r="T258" s="23"/>
      <c r="U258" s="13"/>
      <c r="V258" s="19"/>
      <c r="W258" s="19"/>
      <c r="X258" s="13"/>
      <c r="Y258" s="13"/>
      <c r="Z258" s="19"/>
      <c r="AA258" s="19"/>
    </row>
    <row r="259" spans="1:27" x14ac:dyDescent="0.25">
      <c r="A259" s="11"/>
      <c r="B259" s="12"/>
      <c r="C259" s="27"/>
      <c r="D259" s="27"/>
      <c r="E259" s="27"/>
      <c r="F259" s="27"/>
      <c r="G259" s="27"/>
      <c r="H259" s="34"/>
      <c r="I259" s="34"/>
      <c r="J259" s="27"/>
      <c r="K259" s="27"/>
      <c r="L259" s="27"/>
      <c r="M259" s="5"/>
      <c r="N259" s="27"/>
      <c r="O259" s="27"/>
      <c r="P259" s="5"/>
      <c r="Q259" s="31"/>
      <c r="R259" s="31"/>
      <c r="S259" s="23"/>
      <c r="T259" s="23"/>
      <c r="U259" s="13"/>
      <c r="V259" s="19"/>
      <c r="W259" s="19"/>
      <c r="X259" s="13"/>
      <c r="Y259" s="13"/>
      <c r="Z259" s="19"/>
      <c r="AA259" s="19"/>
    </row>
    <row r="260" spans="1:27" x14ac:dyDescent="0.25">
      <c r="A260" s="11"/>
      <c r="B260" s="12"/>
      <c r="C260" s="27"/>
      <c r="D260" s="27"/>
      <c r="E260" s="27"/>
      <c r="F260" s="27"/>
      <c r="G260" s="27"/>
      <c r="H260" s="34"/>
      <c r="I260" s="34"/>
      <c r="J260" s="27"/>
      <c r="K260" s="27"/>
      <c r="L260" s="27"/>
      <c r="M260" s="5"/>
      <c r="N260" s="27"/>
      <c r="O260" s="27"/>
      <c r="P260" s="5"/>
      <c r="Q260" s="31"/>
      <c r="R260" s="31"/>
      <c r="S260" s="23"/>
      <c r="T260" s="23"/>
      <c r="U260" s="13"/>
      <c r="V260" s="19"/>
      <c r="W260" s="19"/>
      <c r="X260" s="13"/>
      <c r="Y260" s="13"/>
      <c r="Z260" s="19"/>
      <c r="AA260" s="19"/>
    </row>
    <row r="261" spans="1:27" x14ac:dyDescent="0.25">
      <c r="A261" s="11"/>
      <c r="B261" s="12"/>
      <c r="C261" s="27"/>
      <c r="D261" s="27"/>
      <c r="E261" s="27"/>
      <c r="F261" s="27"/>
      <c r="G261" s="27"/>
      <c r="H261" s="34"/>
      <c r="I261" s="34"/>
      <c r="J261" s="27"/>
      <c r="K261" s="27"/>
      <c r="L261" s="27"/>
      <c r="M261" s="5"/>
      <c r="N261" s="27"/>
      <c r="O261" s="27"/>
      <c r="P261" s="5"/>
      <c r="Q261" s="31"/>
      <c r="R261" s="31"/>
      <c r="S261" s="23"/>
      <c r="T261" s="23"/>
      <c r="U261" s="13"/>
      <c r="V261" s="19"/>
      <c r="W261" s="19"/>
      <c r="X261" s="13"/>
      <c r="Y261" s="13"/>
      <c r="Z261" s="19"/>
      <c r="AA261" s="19"/>
    </row>
    <row r="262" spans="1:27" x14ac:dyDescent="0.25">
      <c r="A262" s="11"/>
      <c r="B262" s="12"/>
      <c r="C262" s="27"/>
      <c r="D262" s="27"/>
      <c r="E262" s="27"/>
      <c r="F262" s="27"/>
      <c r="G262" s="27"/>
      <c r="H262" s="34"/>
      <c r="I262" s="34"/>
      <c r="J262" s="27"/>
      <c r="K262" s="27"/>
      <c r="L262" s="27"/>
      <c r="M262" s="5"/>
      <c r="N262" s="27"/>
      <c r="O262" s="27"/>
      <c r="P262" s="5"/>
      <c r="Q262" s="31"/>
      <c r="R262" s="31"/>
      <c r="S262" s="23"/>
      <c r="T262" s="23"/>
      <c r="U262" s="13"/>
      <c r="V262" s="19"/>
      <c r="W262" s="19"/>
      <c r="X262" s="13"/>
      <c r="Y262" s="13"/>
      <c r="Z262" s="19"/>
      <c r="AA262" s="19"/>
    </row>
    <row r="263" spans="1:27" x14ac:dyDescent="0.25">
      <c r="A263" s="11"/>
      <c r="B263" s="12"/>
      <c r="C263" s="27"/>
      <c r="D263" s="27"/>
      <c r="E263" s="27"/>
      <c r="F263" s="27"/>
      <c r="G263" s="27"/>
      <c r="H263" s="34"/>
      <c r="I263" s="34"/>
      <c r="J263" s="27"/>
      <c r="K263" s="27"/>
      <c r="L263" s="27"/>
      <c r="M263" s="5"/>
      <c r="N263" s="27"/>
      <c r="O263" s="27"/>
      <c r="P263" s="5"/>
      <c r="Q263" s="31"/>
      <c r="R263" s="31"/>
      <c r="S263" s="23"/>
      <c r="T263" s="23"/>
      <c r="U263" s="13"/>
      <c r="V263" s="19"/>
      <c r="W263" s="19"/>
      <c r="X263" s="13"/>
      <c r="Y263" s="13"/>
      <c r="Z263" s="19"/>
      <c r="AA263" s="19"/>
    </row>
    <row r="264" spans="1:27" x14ac:dyDescent="0.25">
      <c r="A264" s="11"/>
      <c r="B264" s="12"/>
      <c r="C264" s="27"/>
      <c r="D264" s="27"/>
      <c r="E264" s="27"/>
      <c r="F264" s="27"/>
      <c r="G264" s="27"/>
      <c r="H264" s="34"/>
      <c r="I264" s="34"/>
      <c r="J264" s="27"/>
      <c r="K264" s="27"/>
      <c r="L264" s="27"/>
      <c r="M264" s="5"/>
      <c r="N264" s="27"/>
      <c r="O264" s="27"/>
      <c r="P264" s="5"/>
      <c r="Q264" s="31"/>
      <c r="R264" s="31"/>
      <c r="S264" s="23"/>
      <c r="T264" s="23"/>
      <c r="U264" s="13"/>
      <c r="V264" s="19"/>
      <c r="W264" s="19"/>
      <c r="X264" s="13"/>
      <c r="Y264" s="13"/>
      <c r="Z264" s="19"/>
      <c r="AA264" s="19"/>
    </row>
    <row r="265" spans="1:27" x14ac:dyDescent="0.25">
      <c r="A265" s="11"/>
      <c r="B265" s="12"/>
      <c r="C265" s="27"/>
      <c r="D265" s="27"/>
      <c r="E265" s="27"/>
      <c r="F265" s="27"/>
      <c r="G265" s="27"/>
      <c r="H265" s="34"/>
      <c r="I265" s="34"/>
      <c r="J265" s="27"/>
      <c r="K265" s="27"/>
      <c r="L265" s="27"/>
      <c r="M265" s="5"/>
      <c r="N265" s="27"/>
      <c r="O265" s="27"/>
      <c r="P265" s="5"/>
      <c r="Q265" s="31"/>
      <c r="R265" s="31"/>
      <c r="S265" s="23"/>
      <c r="T265" s="23"/>
      <c r="U265" s="13"/>
      <c r="V265" s="19"/>
      <c r="W265" s="19"/>
      <c r="X265" s="13"/>
      <c r="Y265" s="13"/>
      <c r="Z265" s="19"/>
      <c r="AA265" s="19"/>
    </row>
    <row r="266" spans="1:27" x14ac:dyDescent="0.25">
      <c r="A266" s="11"/>
      <c r="B266" s="12"/>
      <c r="C266" s="27"/>
      <c r="D266" s="27"/>
      <c r="E266" s="27"/>
      <c r="F266" s="27"/>
      <c r="G266" s="27"/>
      <c r="H266" s="34"/>
      <c r="I266" s="34"/>
      <c r="J266" s="27"/>
      <c r="K266" s="27"/>
      <c r="L266" s="27"/>
      <c r="M266" s="5"/>
      <c r="N266" s="27"/>
      <c r="O266" s="27"/>
      <c r="P266" s="5"/>
      <c r="Q266" s="31"/>
      <c r="R266" s="31"/>
      <c r="S266" s="23"/>
      <c r="T266" s="23"/>
      <c r="U266" s="13"/>
      <c r="V266" s="19"/>
      <c r="W266" s="19"/>
      <c r="X266" s="13"/>
      <c r="Y266" s="13"/>
      <c r="Z266" s="19"/>
      <c r="AA266" s="19"/>
    </row>
    <row r="267" spans="1:27" x14ac:dyDescent="0.25">
      <c r="A267" s="11"/>
      <c r="B267" s="12"/>
      <c r="C267" s="27"/>
      <c r="D267" s="27"/>
      <c r="E267" s="27"/>
      <c r="F267" s="27"/>
      <c r="G267" s="27"/>
      <c r="H267" s="34"/>
      <c r="I267" s="34"/>
      <c r="J267" s="27"/>
      <c r="K267" s="27"/>
      <c r="L267" s="27"/>
      <c r="M267" s="5"/>
      <c r="N267" s="27"/>
      <c r="O267" s="27"/>
      <c r="P267" s="5"/>
      <c r="Q267" s="31"/>
      <c r="R267" s="31"/>
      <c r="S267" s="23"/>
      <c r="T267" s="23"/>
      <c r="U267" s="13"/>
      <c r="V267" s="19"/>
      <c r="W267" s="19"/>
      <c r="X267" s="13"/>
      <c r="Y267" s="13"/>
      <c r="Z267" s="19"/>
      <c r="AA267" s="19"/>
    </row>
    <row r="268" spans="1:27" x14ac:dyDescent="0.25">
      <c r="A268" s="11"/>
      <c r="B268" s="12"/>
      <c r="C268" s="27"/>
      <c r="D268" s="27"/>
      <c r="E268" s="27"/>
      <c r="F268" s="27"/>
      <c r="G268" s="27"/>
      <c r="H268" s="34"/>
      <c r="I268" s="34"/>
      <c r="J268" s="27"/>
      <c r="K268" s="27"/>
      <c r="L268" s="27"/>
      <c r="M268" s="5"/>
      <c r="N268" s="27"/>
      <c r="O268" s="27"/>
      <c r="P268" s="5"/>
      <c r="Q268" s="31"/>
      <c r="R268" s="31"/>
      <c r="S268" s="23"/>
      <c r="T268" s="23"/>
      <c r="U268" s="13"/>
      <c r="V268" s="19"/>
      <c r="W268" s="19"/>
      <c r="X268" s="13"/>
      <c r="Y268" s="13"/>
      <c r="Z268" s="19"/>
      <c r="AA268" s="19"/>
    </row>
    <row r="269" spans="1:27" x14ac:dyDescent="0.25">
      <c r="A269" s="11"/>
      <c r="B269" s="12"/>
      <c r="C269" s="27"/>
      <c r="D269" s="27"/>
      <c r="E269" s="27"/>
      <c r="F269" s="27"/>
      <c r="G269" s="27"/>
      <c r="H269" s="34"/>
      <c r="I269" s="34"/>
      <c r="J269" s="27"/>
      <c r="K269" s="27"/>
      <c r="L269" s="27"/>
      <c r="M269" s="5"/>
      <c r="N269" s="27"/>
      <c r="O269" s="27"/>
      <c r="P269" s="5"/>
      <c r="Q269" s="31"/>
      <c r="R269" s="31"/>
      <c r="S269" s="23"/>
      <c r="T269" s="23"/>
      <c r="U269" s="13"/>
      <c r="V269" s="19"/>
      <c r="W269" s="19"/>
      <c r="X269" s="13"/>
      <c r="Y269" s="13"/>
      <c r="Z269" s="19"/>
      <c r="AA269" s="19"/>
    </row>
    <row r="270" spans="1:27" x14ac:dyDescent="0.25">
      <c r="A270" s="11"/>
      <c r="B270" s="12"/>
      <c r="C270" s="27"/>
      <c r="D270" s="27"/>
      <c r="E270" s="27"/>
      <c r="F270" s="27"/>
      <c r="G270" s="27"/>
      <c r="H270" s="34"/>
      <c r="I270" s="34"/>
      <c r="J270" s="27"/>
      <c r="K270" s="27"/>
      <c r="L270" s="27"/>
      <c r="M270" s="5"/>
      <c r="N270" s="27"/>
      <c r="O270" s="27"/>
      <c r="P270" s="5"/>
      <c r="Q270" s="31"/>
      <c r="R270" s="31"/>
      <c r="S270" s="23"/>
      <c r="T270" s="23"/>
      <c r="U270" s="13"/>
      <c r="V270" s="19"/>
      <c r="W270" s="19"/>
      <c r="X270" s="13"/>
      <c r="Y270" s="13"/>
      <c r="Z270" s="19"/>
      <c r="AA270" s="19"/>
    </row>
    <row r="271" spans="1:27" x14ac:dyDescent="0.25">
      <c r="A271" s="11"/>
      <c r="B271" s="12"/>
      <c r="C271" s="27"/>
      <c r="D271" s="27"/>
      <c r="E271" s="27"/>
      <c r="F271" s="27"/>
      <c r="G271" s="27"/>
      <c r="H271" s="34"/>
      <c r="I271" s="34"/>
      <c r="J271" s="27"/>
      <c r="K271" s="27"/>
      <c r="L271" s="27"/>
      <c r="M271" s="5"/>
      <c r="N271" s="27"/>
      <c r="O271" s="27"/>
      <c r="P271" s="5"/>
      <c r="Q271" s="31"/>
      <c r="R271" s="31"/>
      <c r="S271" s="23"/>
      <c r="T271" s="23"/>
      <c r="U271" s="13"/>
      <c r="V271" s="19"/>
      <c r="W271" s="19"/>
      <c r="X271" s="13"/>
      <c r="Y271" s="13"/>
      <c r="Z271" s="19"/>
      <c r="AA271" s="19"/>
    </row>
    <row r="272" spans="1:27" x14ac:dyDescent="0.25">
      <c r="A272" s="11"/>
      <c r="B272" s="12"/>
      <c r="C272" s="27"/>
      <c r="D272" s="27"/>
      <c r="E272" s="27"/>
      <c r="F272" s="27"/>
      <c r="G272" s="27"/>
      <c r="H272" s="34"/>
      <c r="I272" s="34"/>
      <c r="J272" s="27"/>
      <c r="K272" s="27"/>
      <c r="L272" s="27"/>
      <c r="M272" s="5"/>
      <c r="N272" s="27"/>
      <c r="O272" s="27"/>
      <c r="P272" s="5"/>
      <c r="Q272" s="31"/>
      <c r="R272" s="31"/>
      <c r="S272" s="23"/>
      <c r="T272" s="23"/>
      <c r="U272" s="13"/>
      <c r="V272" s="19"/>
      <c r="W272" s="19"/>
      <c r="X272" s="13"/>
      <c r="Y272" s="13"/>
      <c r="Z272" s="19"/>
      <c r="AA272" s="19"/>
    </row>
    <row r="273" spans="1:27" x14ac:dyDescent="0.25">
      <c r="A273" s="11"/>
      <c r="B273" s="12"/>
      <c r="C273" s="27"/>
      <c r="D273" s="27"/>
      <c r="E273" s="27"/>
      <c r="F273" s="27"/>
      <c r="G273" s="27"/>
      <c r="H273" s="34"/>
      <c r="I273" s="34"/>
      <c r="J273" s="27"/>
      <c r="K273" s="27"/>
      <c r="L273" s="27"/>
      <c r="M273" s="5"/>
      <c r="N273" s="27"/>
      <c r="O273" s="27"/>
      <c r="P273" s="5"/>
      <c r="Q273" s="31"/>
      <c r="R273" s="31"/>
      <c r="S273" s="23"/>
      <c r="T273" s="23"/>
      <c r="U273" s="13"/>
      <c r="V273" s="19"/>
      <c r="W273" s="19"/>
      <c r="X273" s="13"/>
      <c r="Y273" s="13"/>
      <c r="Z273" s="19"/>
      <c r="AA273" s="19"/>
    </row>
    <row r="274" spans="1:27" x14ac:dyDescent="0.25">
      <c r="A274" s="11"/>
      <c r="B274" s="12"/>
      <c r="C274" s="27"/>
      <c r="D274" s="27"/>
      <c r="E274" s="27"/>
      <c r="F274" s="27"/>
      <c r="G274" s="27"/>
      <c r="H274" s="34"/>
      <c r="I274" s="34"/>
      <c r="J274" s="27"/>
      <c r="K274" s="27"/>
      <c r="L274" s="27"/>
      <c r="M274" s="5"/>
      <c r="N274" s="27"/>
      <c r="O274" s="27"/>
      <c r="P274" s="5"/>
      <c r="Q274" s="31"/>
      <c r="R274" s="31"/>
      <c r="S274" s="23"/>
      <c r="T274" s="23"/>
      <c r="U274" s="13"/>
      <c r="V274" s="19"/>
      <c r="W274" s="19"/>
      <c r="X274" s="13"/>
      <c r="Y274" s="13"/>
      <c r="Z274" s="19"/>
      <c r="AA274" s="19"/>
    </row>
    <row r="275" spans="1:27" x14ac:dyDescent="0.25">
      <c r="A275" s="11"/>
      <c r="B275" s="12"/>
      <c r="C275" s="27"/>
      <c r="D275" s="27"/>
      <c r="E275" s="27"/>
      <c r="F275" s="27"/>
      <c r="G275" s="27"/>
      <c r="H275" s="34"/>
      <c r="I275" s="34"/>
      <c r="J275" s="27"/>
      <c r="K275" s="27"/>
      <c r="L275" s="27"/>
      <c r="M275" s="5"/>
      <c r="N275" s="27"/>
      <c r="O275" s="27"/>
      <c r="P275" s="5"/>
      <c r="Q275" s="31"/>
      <c r="R275" s="31"/>
      <c r="S275" s="23"/>
      <c r="T275" s="23"/>
      <c r="U275" s="13"/>
      <c r="V275" s="19"/>
      <c r="W275" s="19"/>
      <c r="X275" s="13"/>
      <c r="Y275" s="13"/>
      <c r="Z275" s="19"/>
      <c r="AA275" s="19"/>
    </row>
    <row r="276" spans="1:27" x14ac:dyDescent="0.25">
      <c r="A276" s="11"/>
      <c r="B276" s="12"/>
      <c r="C276" s="27"/>
      <c r="D276" s="27"/>
      <c r="E276" s="27"/>
      <c r="F276" s="27"/>
      <c r="G276" s="27"/>
      <c r="H276" s="34"/>
      <c r="I276" s="34"/>
      <c r="J276" s="27"/>
      <c r="K276" s="27"/>
      <c r="L276" s="27"/>
      <c r="M276" s="5"/>
      <c r="N276" s="27"/>
      <c r="O276" s="27"/>
      <c r="P276" s="5"/>
      <c r="Q276" s="31"/>
      <c r="R276" s="31"/>
      <c r="S276" s="23"/>
      <c r="T276" s="23"/>
      <c r="U276" s="13"/>
      <c r="V276" s="19"/>
      <c r="W276" s="19"/>
      <c r="X276" s="13"/>
      <c r="Y276" s="13"/>
      <c r="Z276" s="19"/>
      <c r="AA276" s="19"/>
    </row>
    <row r="277" spans="1:27" x14ac:dyDescent="0.25">
      <c r="A277" s="11"/>
      <c r="B277" s="12"/>
      <c r="C277" s="27"/>
      <c r="D277" s="27"/>
      <c r="E277" s="27"/>
      <c r="F277" s="27"/>
      <c r="G277" s="27"/>
      <c r="H277" s="34"/>
      <c r="I277" s="34"/>
      <c r="J277" s="27"/>
      <c r="K277" s="27"/>
      <c r="L277" s="27"/>
      <c r="M277" s="5"/>
      <c r="N277" s="27"/>
      <c r="O277" s="27"/>
      <c r="P277" s="5"/>
      <c r="Q277" s="31"/>
      <c r="R277" s="31"/>
      <c r="S277" s="23"/>
      <c r="T277" s="23"/>
      <c r="U277" s="13"/>
      <c r="V277" s="19"/>
      <c r="W277" s="19"/>
      <c r="X277" s="13"/>
      <c r="Y277" s="13"/>
      <c r="Z277" s="19"/>
      <c r="AA277" s="19"/>
    </row>
    <row r="278" spans="1:27" x14ac:dyDescent="0.25">
      <c r="A278" s="11"/>
      <c r="B278" s="12"/>
      <c r="C278" s="27"/>
      <c r="D278" s="27"/>
      <c r="E278" s="27"/>
      <c r="F278" s="27"/>
      <c r="G278" s="27"/>
      <c r="H278" s="34"/>
      <c r="I278" s="34"/>
      <c r="J278" s="27"/>
      <c r="K278" s="27"/>
      <c r="L278" s="27"/>
      <c r="M278" s="5"/>
      <c r="N278" s="27"/>
      <c r="O278" s="27"/>
      <c r="P278" s="5"/>
      <c r="Q278" s="31"/>
      <c r="R278" s="31"/>
      <c r="S278" s="23"/>
      <c r="T278" s="23"/>
      <c r="U278" s="13"/>
      <c r="V278" s="19"/>
      <c r="W278" s="19"/>
      <c r="X278" s="13"/>
      <c r="Y278" s="13"/>
      <c r="Z278" s="19"/>
      <c r="AA278" s="19"/>
    </row>
    <row r="279" spans="1:27" x14ac:dyDescent="0.25">
      <c r="A279" s="11"/>
      <c r="B279" s="12"/>
      <c r="C279" s="27"/>
      <c r="D279" s="27"/>
      <c r="E279" s="27"/>
      <c r="F279" s="27"/>
      <c r="G279" s="27"/>
      <c r="H279" s="34"/>
      <c r="I279" s="34"/>
      <c r="J279" s="27"/>
      <c r="K279" s="27"/>
      <c r="L279" s="27"/>
      <c r="M279" s="5"/>
      <c r="N279" s="27"/>
      <c r="O279" s="27"/>
      <c r="P279" s="5"/>
      <c r="Q279" s="31"/>
      <c r="R279" s="31"/>
      <c r="S279" s="23"/>
      <c r="T279" s="23"/>
      <c r="U279" s="13"/>
      <c r="V279" s="19"/>
      <c r="W279" s="19"/>
      <c r="X279" s="13"/>
      <c r="Y279" s="13"/>
      <c r="Z279" s="19"/>
      <c r="AA279" s="19"/>
    </row>
    <row r="280" spans="1:27" x14ac:dyDescent="0.25">
      <c r="A280" s="11"/>
      <c r="B280" s="12"/>
      <c r="C280" s="27"/>
      <c r="D280" s="27"/>
      <c r="E280" s="27"/>
      <c r="F280" s="27"/>
      <c r="G280" s="27"/>
      <c r="H280" s="34"/>
      <c r="I280" s="34"/>
      <c r="J280" s="27"/>
      <c r="K280" s="27"/>
      <c r="L280" s="27"/>
      <c r="M280" s="5"/>
      <c r="N280" s="27"/>
      <c r="O280" s="27"/>
      <c r="P280" s="5"/>
      <c r="Q280" s="31"/>
      <c r="R280" s="31"/>
      <c r="S280" s="23"/>
      <c r="T280" s="23"/>
      <c r="U280" s="13"/>
      <c r="V280" s="19"/>
      <c r="W280" s="19"/>
      <c r="X280" s="13"/>
      <c r="Y280" s="13"/>
      <c r="Z280" s="19"/>
      <c r="AA280" s="19"/>
    </row>
    <row r="281" spans="1:27" x14ac:dyDescent="0.25">
      <c r="A281" s="11"/>
      <c r="B281" s="12"/>
      <c r="C281" s="27"/>
      <c r="D281" s="27"/>
      <c r="E281" s="27"/>
      <c r="F281" s="27"/>
      <c r="G281" s="27"/>
      <c r="H281" s="34"/>
      <c r="I281" s="34"/>
      <c r="J281" s="27"/>
      <c r="K281" s="27"/>
      <c r="L281" s="27"/>
      <c r="M281" s="5"/>
      <c r="N281" s="27"/>
      <c r="O281" s="27"/>
      <c r="P281" s="5"/>
      <c r="Q281" s="31"/>
      <c r="R281" s="31"/>
      <c r="S281" s="23"/>
      <c r="T281" s="23"/>
      <c r="U281" s="13"/>
      <c r="V281" s="19"/>
      <c r="W281" s="19"/>
      <c r="X281" s="13"/>
      <c r="Y281" s="13"/>
      <c r="Z281" s="19"/>
      <c r="AA281" s="19"/>
    </row>
    <row r="282" spans="1:27" x14ac:dyDescent="0.25">
      <c r="A282" s="11"/>
      <c r="B282" s="12"/>
      <c r="C282" s="27"/>
      <c r="D282" s="27"/>
      <c r="E282" s="27"/>
      <c r="F282" s="27"/>
      <c r="G282" s="27"/>
      <c r="H282" s="34"/>
      <c r="I282" s="34"/>
      <c r="J282" s="27"/>
      <c r="K282" s="27"/>
      <c r="L282" s="27"/>
      <c r="M282" s="5"/>
      <c r="N282" s="27"/>
      <c r="O282" s="27"/>
      <c r="P282" s="5"/>
      <c r="Q282" s="31"/>
      <c r="R282" s="31"/>
      <c r="S282" s="23"/>
      <c r="T282" s="23"/>
      <c r="U282" s="13"/>
      <c r="V282" s="19"/>
      <c r="W282" s="19"/>
      <c r="X282" s="13"/>
      <c r="Y282" s="13"/>
      <c r="Z282" s="19"/>
      <c r="AA282" s="19"/>
    </row>
    <row r="283" spans="1:27" x14ac:dyDescent="0.25">
      <c r="A283" s="11"/>
      <c r="B283" s="12"/>
      <c r="C283" s="27"/>
      <c r="D283" s="27"/>
      <c r="E283" s="27"/>
      <c r="F283" s="27"/>
      <c r="G283" s="27"/>
      <c r="H283" s="34"/>
      <c r="I283" s="34"/>
      <c r="J283" s="27"/>
      <c r="K283" s="27"/>
      <c r="L283" s="27"/>
      <c r="M283" s="5"/>
      <c r="N283" s="27"/>
      <c r="O283" s="27"/>
      <c r="P283" s="5"/>
      <c r="Q283" s="31"/>
      <c r="R283" s="31"/>
      <c r="S283" s="23"/>
      <c r="T283" s="23"/>
      <c r="U283" s="13"/>
      <c r="V283" s="19"/>
      <c r="W283" s="19"/>
      <c r="X283" s="13"/>
      <c r="Y283" s="13"/>
      <c r="Z283" s="19"/>
      <c r="AA283" s="19"/>
    </row>
    <row r="284" spans="1:27" x14ac:dyDescent="0.25">
      <c r="A284" s="11"/>
      <c r="B284" s="12"/>
      <c r="C284" s="27"/>
      <c r="D284" s="27"/>
      <c r="E284" s="27"/>
      <c r="F284" s="27"/>
      <c r="G284" s="27"/>
      <c r="H284" s="34"/>
      <c r="I284" s="34"/>
      <c r="J284" s="27"/>
      <c r="K284" s="27"/>
      <c r="L284" s="27"/>
      <c r="M284" s="5"/>
      <c r="N284" s="27"/>
      <c r="O284" s="27"/>
      <c r="P284" s="5"/>
      <c r="Q284" s="31"/>
      <c r="R284" s="31"/>
      <c r="S284" s="23"/>
      <c r="T284" s="23"/>
      <c r="U284" s="13"/>
      <c r="V284" s="19"/>
      <c r="W284" s="19"/>
      <c r="X284" s="13"/>
      <c r="Y284" s="13"/>
      <c r="Z284" s="19"/>
      <c r="AA284" s="19"/>
    </row>
    <row r="285" spans="1:27" x14ac:dyDescent="0.25">
      <c r="A285" s="11"/>
      <c r="B285" s="12"/>
      <c r="C285" s="27"/>
      <c r="D285" s="27"/>
      <c r="E285" s="27"/>
      <c r="F285" s="27"/>
      <c r="G285" s="27"/>
      <c r="H285" s="34"/>
      <c r="I285" s="34"/>
      <c r="J285" s="27"/>
      <c r="K285" s="27"/>
      <c r="L285" s="27"/>
      <c r="M285" s="5"/>
      <c r="N285" s="27"/>
      <c r="O285" s="27"/>
      <c r="P285" s="5"/>
      <c r="Q285" s="31"/>
      <c r="R285" s="31"/>
      <c r="S285" s="23"/>
      <c r="T285" s="23"/>
      <c r="U285" s="13"/>
      <c r="V285" s="19"/>
      <c r="W285" s="19"/>
      <c r="X285" s="13"/>
      <c r="Y285" s="13"/>
      <c r="Z285" s="19"/>
      <c r="AA285" s="19"/>
    </row>
    <row r="286" spans="1:27" x14ac:dyDescent="0.25">
      <c r="A286" s="11"/>
      <c r="B286" s="12"/>
      <c r="C286" s="27"/>
      <c r="D286" s="27"/>
      <c r="E286" s="27"/>
      <c r="F286" s="27"/>
      <c r="G286" s="27"/>
      <c r="H286" s="34"/>
      <c r="I286" s="34"/>
      <c r="J286" s="27"/>
      <c r="K286" s="27"/>
      <c r="L286" s="27"/>
      <c r="M286" s="5"/>
      <c r="N286" s="27"/>
      <c r="O286" s="27"/>
      <c r="P286" s="5"/>
      <c r="Q286" s="31"/>
      <c r="R286" s="31"/>
      <c r="S286" s="23"/>
      <c r="T286" s="23"/>
      <c r="U286" s="13"/>
      <c r="V286" s="19"/>
      <c r="W286" s="19"/>
      <c r="X286" s="13"/>
      <c r="Y286" s="13"/>
      <c r="Z286" s="19"/>
      <c r="AA286" s="19"/>
    </row>
    <row r="287" spans="1:27" x14ac:dyDescent="0.25">
      <c r="A287" s="11"/>
      <c r="B287" s="12"/>
      <c r="C287" s="27"/>
      <c r="D287" s="27"/>
      <c r="E287" s="27"/>
      <c r="F287" s="27"/>
      <c r="G287" s="27"/>
      <c r="H287" s="34"/>
      <c r="I287" s="34"/>
      <c r="J287" s="27"/>
      <c r="K287" s="27"/>
      <c r="L287" s="27"/>
      <c r="M287" s="5"/>
      <c r="N287" s="27"/>
      <c r="O287" s="27"/>
      <c r="P287" s="5"/>
      <c r="Q287" s="31"/>
      <c r="R287" s="31"/>
      <c r="S287" s="23"/>
      <c r="T287" s="23"/>
      <c r="U287" s="13"/>
      <c r="V287" s="19"/>
      <c r="W287" s="19"/>
      <c r="X287" s="13"/>
      <c r="Y287" s="13"/>
      <c r="Z287" s="19"/>
      <c r="AA287" s="19"/>
    </row>
    <row r="288" spans="1:27" x14ac:dyDescent="0.25">
      <c r="A288" s="11"/>
      <c r="B288" s="12"/>
      <c r="C288" s="27"/>
      <c r="D288" s="27"/>
      <c r="E288" s="27"/>
      <c r="F288" s="27"/>
      <c r="G288" s="27"/>
      <c r="H288" s="34"/>
      <c r="I288" s="34"/>
      <c r="J288" s="27"/>
      <c r="K288" s="27"/>
      <c r="L288" s="27"/>
      <c r="M288" s="5"/>
      <c r="N288" s="27"/>
      <c r="O288" s="27"/>
      <c r="P288" s="5"/>
      <c r="Q288" s="31"/>
      <c r="R288" s="31"/>
      <c r="S288" s="23"/>
      <c r="T288" s="23"/>
      <c r="U288" s="13"/>
      <c r="V288" s="19"/>
      <c r="W288" s="19"/>
      <c r="X288" s="13"/>
      <c r="Y288" s="13"/>
      <c r="Z288" s="19"/>
      <c r="AA288" s="19"/>
    </row>
    <row r="289" spans="1:27" x14ac:dyDescent="0.25">
      <c r="A289" s="11"/>
      <c r="B289" s="12"/>
      <c r="C289" s="27"/>
      <c r="D289" s="27"/>
      <c r="E289" s="27"/>
      <c r="F289" s="27"/>
      <c r="G289" s="27"/>
      <c r="H289" s="34"/>
      <c r="I289" s="34"/>
      <c r="J289" s="27"/>
      <c r="K289" s="27"/>
      <c r="L289" s="27"/>
      <c r="M289" s="5"/>
      <c r="N289" s="27"/>
      <c r="O289" s="27"/>
      <c r="P289" s="5"/>
      <c r="Q289" s="31"/>
      <c r="R289" s="31"/>
      <c r="S289" s="23"/>
      <c r="T289" s="23"/>
      <c r="U289" s="13"/>
      <c r="V289" s="19"/>
      <c r="W289" s="19"/>
      <c r="X289" s="13"/>
      <c r="Y289" s="13"/>
      <c r="Z289" s="19"/>
      <c r="AA289" s="19"/>
    </row>
    <row r="290" spans="1:27" x14ac:dyDescent="0.25">
      <c r="A290" s="11"/>
      <c r="B290" s="12"/>
      <c r="C290" s="27"/>
      <c r="D290" s="27"/>
      <c r="E290" s="27"/>
      <c r="F290" s="27"/>
      <c r="G290" s="27"/>
      <c r="H290" s="34"/>
      <c r="I290" s="34"/>
      <c r="J290" s="27"/>
      <c r="K290" s="27"/>
      <c r="L290" s="27"/>
      <c r="M290" s="5"/>
      <c r="N290" s="27"/>
      <c r="O290" s="27"/>
      <c r="P290" s="5"/>
      <c r="Q290" s="31"/>
      <c r="R290" s="31"/>
      <c r="S290" s="23"/>
      <c r="T290" s="23"/>
      <c r="U290" s="13"/>
      <c r="V290" s="19"/>
      <c r="W290" s="19"/>
      <c r="X290" s="13"/>
      <c r="Y290" s="13"/>
      <c r="Z290" s="19"/>
      <c r="AA290" s="19"/>
    </row>
    <row r="291" spans="1:27" x14ac:dyDescent="0.25">
      <c r="A291" s="11"/>
      <c r="B291" s="12"/>
      <c r="C291" s="27"/>
      <c r="D291" s="27"/>
      <c r="E291" s="27"/>
      <c r="F291" s="27"/>
      <c r="G291" s="27"/>
      <c r="H291" s="34"/>
      <c r="I291" s="34"/>
      <c r="J291" s="27"/>
      <c r="K291" s="27"/>
      <c r="L291" s="27"/>
      <c r="M291" s="5"/>
      <c r="N291" s="27"/>
      <c r="O291" s="27"/>
      <c r="P291" s="5"/>
      <c r="Q291" s="31"/>
      <c r="R291" s="31"/>
      <c r="S291" s="23"/>
      <c r="T291" s="23"/>
      <c r="U291" s="13"/>
      <c r="V291" s="19"/>
      <c r="W291" s="19"/>
      <c r="X291" s="13"/>
      <c r="Y291" s="13"/>
      <c r="Z291" s="19"/>
      <c r="AA291" s="19"/>
    </row>
    <row r="292" spans="1:27" x14ac:dyDescent="0.25">
      <c r="A292" s="11"/>
      <c r="B292" s="12"/>
      <c r="C292" s="27"/>
      <c r="D292" s="27"/>
      <c r="E292" s="27"/>
      <c r="F292" s="27"/>
      <c r="G292" s="27"/>
      <c r="H292" s="34"/>
      <c r="I292" s="34"/>
      <c r="J292" s="27"/>
      <c r="K292" s="27"/>
      <c r="L292" s="27"/>
      <c r="M292" s="5"/>
      <c r="N292" s="27"/>
      <c r="O292" s="27"/>
      <c r="P292" s="5"/>
      <c r="Q292" s="31"/>
      <c r="R292" s="31"/>
      <c r="S292" s="23"/>
      <c r="T292" s="23"/>
      <c r="U292" s="13"/>
      <c r="V292" s="19"/>
      <c r="W292" s="19"/>
      <c r="X292" s="13"/>
      <c r="Y292" s="13"/>
      <c r="Z292" s="19"/>
      <c r="AA292" s="19"/>
    </row>
    <row r="293" spans="1:27" x14ac:dyDescent="0.25">
      <c r="A293" s="11"/>
      <c r="B293" s="12"/>
      <c r="C293" s="27"/>
      <c r="D293" s="27"/>
      <c r="E293" s="27"/>
      <c r="F293" s="27"/>
      <c r="G293" s="27"/>
      <c r="H293" s="34"/>
      <c r="I293" s="34"/>
      <c r="J293" s="27"/>
      <c r="K293" s="27"/>
      <c r="L293" s="27"/>
      <c r="M293" s="5"/>
      <c r="N293" s="27"/>
      <c r="O293" s="27"/>
      <c r="P293" s="5"/>
      <c r="Q293" s="31"/>
      <c r="R293" s="31"/>
      <c r="S293" s="23"/>
      <c r="T293" s="23"/>
      <c r="U293" s="13"/>
      <c r="V293" s="19"/>
      <c r="W293" s="19"/>
      <c r="X293" s="13"/>
      <c r="Y293" s="13"/>
      <c r="Z293" s="19"/>
      <c r="AA293" s="19"/>
    </row>
    <row r="294" spans="1:27" x14ac:dyDescent="0.25">
      <c r="A294" s="11"/>
      <c r="B294" s="12"/>
      <c r="C294" s="27"/>
      <c r="D294" s="27"/>
      <c r="E294" s="27"/>
      <c r="F294" s="27"/>
      <c r="G294" s="27"/>
      <c r="H294" s="34"/>
      <c r="I294" s="34"/>
      <c r="J294" s="27"/>
      <c r="K294" s="27"/>
      <c r="L294" s="27"/>
      <c r="M294" s="5"/>
      <c r="N294" s="27"/>
      <c r="O294" s="27"/>
      <c r="P294" s="5"/>
      <c r="Q294" s="31"/>
      <c r="R294" s="31"/>
      <c r="S294" s="23"/>
      <c r="T294" s="23"/>
      <c r="U294" s="13"/>
      <c r="V294" s="19"/>
      <c r="W294" s="19"/>
      <c r="X294" s="13"/>
      <c r="Y294" s="13"/>
      <c r="Z294" s="19"/>
      <c r="AA294" s="19"/>
    </row>
    <row r="295" spans="1:27" x14ac:dyDescent="0.25">
      <c r="A295" s="11"/>
      <c r="B295" s="12"/>
      <c r="C295" s="27"/>
      <c r="D295" s="27"/>
      <c r="E295" s="27"/>
      <c r="F295" s="27"/>
      <c r="G295" s="27"/>
      <c r="H295" s="34"/>
      <c r="I295" s="34"/>
      <c r="J295" s="27"/>
      <c r="K295" s="27"/>
      <c r="L295" s="27"/>
      <c r="M295" s="5"/>
      <c r="N295" s="27"/>
      <c r="O295" s="27"/>
      <c r="P295" s="5"/>
      <c r="Q295" s="31"/>
      <c r="R295" s="31"/>
      <c r="S295" s="23"/>
      <c r="T295" s="23"/>
      <c r="U295" s="13"/>
      <c r="V295" s="19"/>
      <c r="W295" s="19"/>
      <c r="X295" s="13"/>
      <c r="Y295" s="13"/>
      <c r="Z295" s="19"/>
      <c r="AA295" s="19"/>
    </row>
    <row r="296" spans="1:27" x14ac:dyDescent="0.25">
      <c r="A296" s="11"/>
      <c r="B296" s="12"/>
      <c r="C296" s="27"/>
      <c r="D296" s="27"/>
      <c r="E296" s="27"/>
      <c r="F296" s="27"/>
      <c r="G296" s="27"/>
      <c r="H296" s="34"/>
      <c r="I296" s="34"/>
      <c r="J296" s="27"/>
      <c r="K296" s="27"/>
      <c r="L296" s="27"/>
      <c r="M296" s="5"/>
      <c r="N296" s="27"/>
      <c r="O296" s="27"/>
      <c r="P296" s="5"/>
      <c r="Q296" s="31"/>
      <c r="R296" s="31"/>
      <c r="S296" s="23"/>
      <c r="T296" s="23"/>
      <c r="U296" s="13"/>
      <c r="V296" s="19"/>
      <c r="W296" s="19"/>
      <c r="X296" s="13"/>
      <c r="Y296" s="13"/>
      <c r="Z296" s="19"/>
      <c r="AA296" s="19"/>
    </row>
    <row r="297" spans="1:27" x14ac:dyDescent="0.25">
      <c r="A297" s="11"/>
      <c r="B297" s="12"/>
      <c r="C297" s="27"/>
      <c r="D297" s="27"/>
      <c r="E297" s="27"/>
      <c r="F297" s="27"/>
      <c r="G297" s="27"/>
      <c r="H297" s="34"/>
      <c r="I297" s="34"/>
      <c r="J297" s="27"/>
      <c r="K297" s="27"/>
      <c r="L297" s="27"/>
      <c r="M297" s="5"/>
      <c r="N297" s="27"/>
      <c r="O297" s="27"/>
      <c r="P297" s="5"/>
      <c r="Q297" s="31"/>
      <c r="R297" s="31"/>
      <c r="S297" s="23"/>
      <c r="T297" s="23"/>
      <c r="U297" s="13"/>
      <c r="V297" s="19"/>
      <c r="W297" s="19"/>
      <c r="X297" s="13"/>
      <c r="Y297" s="13"/>
      <c r="Z297" s="19"/>
      <c r="AA297" s="19"/>
    </row>
    <row r="298" spans="1:27" x14ac:dyDescent="0.25">
      <c r="A298" s="11"/>
      <c r="B298" s="12"/>
      <c r="C298" s="27"/>
      <c r="D298" s="27"/>
      <c r="E298" s="27"/>
      <c r="F298" s="27"/>
      <c r="G298" s="27"/>
      <c r="H298" s="34"/>
      <c r="I298" s="34"/>
      <c r="J298" s="27"/>
      <c r="K298" s="27"/>
      <c r="L298" s="27"/>
      <c r="M298" s="5"/>
      <c r="N298" s="27"/>
      <c r="O298" s="27"/>
      <c r="P298" s="5"/>
      <c r="Q298" s="31"/>
      <c r="R298" s="31"/>
      <c r="S298" s="23"/>
      <c r="T298" s="23"/>
      <c r="U298" s="13"/>
      <c r="V298" s="19"/>
      <c r="W298" s="19"/>
      <c r="X298" s="13"/>
      <c r="Y298" s="13"/>
      <c r="Z298" s="19"/>
      <c r="AA298" s="19"/>
    </row>
    <row r="299" spans="1:27" x14ac:dyDescent="0.25">
      <c r="A299" s="11"/>
      <c r="B299" s="12"/>
      <c r="C299" s="27"/>
      <c r="D299" s="27"/>
      <c r="E299" s="27"/>
      <c r="F299" s="27"/>
      <c r="G299" s="27"/>
      <c r="H299" s="34"/>
      <c r="I299" s="34"/>
      <c r="J299" s="27"/>
      <c r="K299" s="27"/>
      <c r="L299" s="27"/>
      <c r="M299" s="5"/>
      <c r="N299" s="27"/>
      <c r="O299" s="27"/>
      <c r="P299" s="5"/>
      <c r="Q299" s="31"/>
      <c r="R299" s="31"/>
      <c r="S299" s="23"/>
      <c r="T299" s="23"/>
      <c r="U299" s="13"/>
      <c r="V299" s="19"/>
      <c r="W299" s="19"/>
      <c r="X299" s="13"/>
      <c r="Y299" s="13"/>
      <c r="Z299" s="19"/>
      <c r="AA299" s="19"/>
    </row>
    <row r="300" spans="1:27" x14ac:dyDescent="0.25">
      <c r="A300" s="11"/>
      <c r="B300" s="12"/>
      <c r="C300" s="27"/>
      <c r="D300" s="27"/>
      <c r="E300" s="27"/>
      <c r="F300" s="27"/>
      <c r="G300" s="27"/>
      <c r="H300" s="34"/>
      <c r="I300" s="34"/>
      <c r="J300" s="27"/>
      <c r="K300" s="27"/>
      <c r="L300" s="27"/>
      <c r="M300" s="5"/>
      <c r="N300" s="27"/>
      <c r="O300" s="27"/>
      <c r="P300" s="5"/>
      <c r="Q300" s="31"/>
      <c r="R300" s="31"/>
      <c r="S300" s="23"/>
      <c r="T300" s="23"/>
      <c r="U300" s="13"/>
      <c r="V300" s="19"/>
      <c r="W300" s="19"/>
      <c r="X300" s="13"/>
      <c r="Y300" s="13"/>
      <c r="Z300" s="19"/>
      <c r="AA300" s="19"/>
    </row>
    <row r="301" spans="1:27" x14ac:dyDescent="0.25">
      <c r="A301" s="11"/>
      <c r="B301" s="12"/>
      <c r="C301" s="27"/>
      <c r="D301" s="27"/>
      <c r="E301" s="27"/>
      <c r="F301" s="27"/>
      <c r="G301" s="27"/>
      <c r="H301" s="34"/>
      <c r="I301" s="34"/>
      <c r="J301" s="27"/>
      <c r="K301" s="27"/>
      <c r="L301" s="27"/>
      <c r="M301" s="5"/>
      <c r="N301" s="27"/>
      <c r="O301" s="27"/>
      <c r="P301" s="5"/>
      <c r="Q301" s="31"/>
      <c r="R301" s="31"/>
      <c r="S301" s="23"/>
      <c r="T301" s="23"/>
      <c r="U301" s="13"/>
      <c r="V301" s="19"/>
      <c r="W301" s="19"/>
      <c r="X301" s="13"/>
      <c r="Y301" s="13"/>
      <c r="Z301" s="19"/>
      <c r="AA301" s="19"/>
    </row>
    <row r="302" spans="1:27" x14ac:dyDescent="0.25">
      <c r="A302" s="11"/>
      <c r="B302" s="12"/>
      <c r="C302" s="27"/>
      <c r="D302" s="27"/>
      <c r="E302" s="27"/>
      <c r="F302" s="27"/>
      <c r="G302" s="27"/>
      <c r="H302" s="34"/>
      <c r="I302" s="34"/>
      <c r="J302" s="27"/>
      <c r="K302" s="27"/>
      <c r="L302" s="27"/>
      <c r="M302" s="5"/>
      <c r="N302" s="27"/>
      <c r="O302" s="27"/>
      <c r="P302" s="5"/>
      <c r="Q302" s="31"/>
      <c r="R302" s="31"/>
      <c r="S302" s="23"/>
      <c r="T302" s="23"/>
      <c r="U302" s="13"/>
      <c r="V302" s="19"/>
      <c r="W302" s="19"/>
      <c r="X302" s="13"/>
      <c r="Y302" s="13"/>
      <c r="Z302" s="19"/>
      <c r="AA302" s="19"/>
    </row>
    <row r="303" spans="1:27" x14ac:dyDescent="0.25">
      <c r="A303" s="11"/>
      <c r="B303" s="12"/>
      <c r="C303" s="27"/>
      <c r="D303" s="27"/>
      <c r="E303" s="27"/>
      <c r="F303" s="27"/>
      <c r="G303" s="27"/>
      <c r="H303" s="34"/>
      <c r="I303" s="34"/>
      <c r="J303" s="27"/>
      <c r="K303" s="27"/>
      <c r="L303" s="27"/>
      <c r="M303" s="5"/>
      <c r="N303" s="27"/>
      <c r="O303" s="27"/>
      <c r="P303" s="5"/>
      <c r="Q303" s="31"/>
      <c r="R303" s="31"/>
      <c r="S303" s="23"/>
      <c r="T303" s="23"/>
      <c r="U303" s="13"/>
      <c r="V303" s="19"/>
      <c r="W303" s="19"/>
      <c r="X303" s="13"/>
      <c r="Y303" s="13"/>
      <c r="Z303" s="19"/>
      <c r="AA303" s="19"/>
    </row>
    <row r="304" spans="1:27" x14ac:dyDescent="0.25">
      <c r="A304" s="11"/>
      <c r="B304" s="12"/>
      <c r="C304" s="27"/>
      <c r="D304" s="27"/>
      <c r="E304" s="27"/>
      <c r="F304" s="27"/>
      <c r="G304" s="27"/>
      <c r="H304" s="34"/>
      <c r="I304" s="34"/>
      <c r="J304" s="27"/>
      <c r="K304" s="27"/>
      <c r="L304" s="27"/>
      <c r="M304" s="5"/>
      <c r="N304" s="27"/>
      <c r="O304" s="27"/>
      <c r="P304" s="5"/>
      <c r="Q304" s="31"/>
      <c r="R304" s="31"/>
      <c r="S304" s="23"/>
      <c r="T304" s="23"/>
      <c r="U304" s="13"/>
      <c r="V304" s="19"/>
      <c r="W304" s="19"/>
      <c r="X304" s="13"/>
      <c r="Y304" s="13"/>
      <c r="Z304" s="19"/>
      <c r="AA304" s="19"/>
    </row>
    <row r="305" spans="1:27" x14ac:dyDescent="0.25">
      <c r="A305" s="11"/>
      <c r="B305" s="12"/>
      <c r="C305" s="27"/>
      <c r="D305" s="27"/>
      <c r="E305" s="27"/>
      <c r="F305" s="27"/>
      <c r="G305" s="27"/>
      <c r="H305" s="34"/>
      <c r="I305" s="34"/>
      <c r="J305" s="27"/>
      <c r="K305" s="27"/>
      <c r="L305" s="27"/>
      <c r="M305" s="5"/>
      <c r="N305" s="27"/>
      <c r="O305" s="27"/>
      <c r="P305" s="5"/>
      <c r="Q305" s="31"/>
      <c r="R305" s="31"/>
      <c r="S305" s="23"/>
      <c r="T305" s="23"/>
      <c r="U305" s="13"/>
      <c r="V305" s="19"/>
      <c r="W305" s="19"/>
      <c r="X305" s="13"/>
      <c r="Y305" s="13"/>
      <c r="Z305" s="19"/>
      <c r="AA305" s="19"/>
    </row>
    <row r="306" spans="1:27" x14ac:dyDescent="0.25">
      <c r="A306" s="11"/>
      <c r="B306" s="12"/>
      <c r="C306" s="27"/>
      <c r="D306" s="27"/>
      <c r="E306" s="27"/>
      <c r="F306" s="27"/>
      <c r="G306" s="27"/>
      <c r="H306" s="34"/>
      <c r="I306" s="34"/>
      <c r="J306" s="27"/>
      <c r="K306" s="27"/>
      <c r="L306" s="27"/>
      <c r="M306" s="5"/>
      <c r="N306" s="27"/>
      <c r="O306" s="27"/>
      <c r="P306" s="5"/>
      <c r="Q306" s="31"/>
      <c r="R306" s="31"/>
      <c r="S306" s="23"/>
      <c r="T306" s="23"/>
      <c r="U306" s="13"/>
      <c r="V306" s="19"/>
      <c r="W306" s="19"/>
      <c r="X306" s="13"/>
      <c r="Y306" s="13"/>
      <c r="Z306" s="19"/>
      <c r="AA306" s="19"/>
    </row>
    <row r="307" spans="1:27" x14ac:dyDescent="0.25">
      <c r="A307" s="11"/>
      <c r="B307" s="12"/>
      <c r="C307" s="27"/>
      <c r="D307" s="27"/>
      <c r="E307" s="27"/>
      <c r="F307" s="27"/>
      <c r="G307" s="27"/>
      <c r="H307" s="34"/>
      <c r="I307" s="34"/>
      <c r="J307" s="27"/>
      <c r="K307" s="27"/>
      <c r="L307" s="27"/>
      <c r="M307" s="5"/>
      <c r="N307" s="27"/>
      <c r="O307" s="27"/>
      <c r="P307" s="5"/>
      <c r="Q307" s="31"/>
      <c r="R307" s="31"/>
      <c r="S307" s="23"/>
      <c r="T307" s="23"/>
      <c r="U307" s="13"/>
      <c r="V307" s="19"/>
      <c r="W307" s="19"/>
      <c r="X307" s="13"/>
      <c r="Y307" s="13"/>
      <c r="Z307" s="19"/>
      <c r="AA307" s="19"/>
    </row>
    <row r="308" spans="1:27" x14ac:dyDescent="0.25">
      <c r="A308" s="11"/>
      <c r="B308" s="12"/>
      <c r="C308" s="27"/>
      <c r="D308" s="27"/>
      <c r="E308" s="27"/>
      <c r="F308" s="27"/>
      <c r="G308" s="27"/>
      <c r="H308" s="34"/>
      <c r="I308" s="34"/>
      <c r="J308" s="27"/>
      <c r="K308" s="27"/>
      <c r="L308" s="27"/>
      <c r="M308" s="5"/>
      <c r="N308" s="27"/>
      <c r="O308" s="27"/>
      <c r="P308" s="5"/>
      <c r="Q308" s="31"/>
      <c r="R308" s="31"/>
      <c r="S308" s="23"/>
      <c r="T308" s="23"/>
      <c r="U308" s="13"/>
      <c r="V308" s="19"/>
      <c r="W308" s="19"/>
      <c r="X308" s="13"/>
      <c r="Y308" s="13"/>
      <c r="Z308" s="19"/>
      <c r="AA308" s="19"/>
    </row>
    <row r="309" spans="1:27" x14ac:dyDescent="0.25">
      <c r="A309" s="11"/>
      <c r="B309" s="12"/>
      <c r="C309" s="27"/>
      <c r="D309" s="27"/>
      <c r="E309" s="27"/>
      <c r="F309" s="27"/>
      <c r="G309" s="27"/>
      <c r="H309" s="34"/>
      <c r="I309" s="34"/>
      <c r="J309" s="27"/>
      <c r="K309" s="27"/>
      <c r="L309" s="27"/>
      <c r="M309" s="5"/>
      <c r="N309" s="27"/>
      <c r="O309" s="27"/>
      <c r="P309" s="5"/>
      <c r="Q309" s="31"/>
      <c r="R309" s="31"/>
      <c r="S309" s="23"/>
      <c r="T309" s="23"/>
      <c r="U309" s="13"/>
      <c r="V309" s="19"/>
      <c r="W309" s="19"/>
      <c r="X309" s="13"/>
      <c r="Y309" s="13"/>
      <c r="Z309" s="19"/>
      <c r="AA309" s="19"/>
    </row>
    <row r="310" spans="1:27" x14ac:dyDescent="0.25">
      <c r="A310" s="11"/>
      <c r="B310" s="12"/>
      <c r="C310" s="27"/>
      <c r="D310" s="27"/>
      <c r="E310" s="27"/>
      <c r="F310" s="27"/>
      <c r="G310" s="27"/>
      <c r="H310" s="34"/>
      <c r="I310" s="34"/>
      <c r="J310" s="27"/>
      <c r="K310" s="27"/>
      <c r="L310" s="27"/>
      <c r="M310" s="5"/>
      <c r="N310" s="27"/>
      <c r="O310" s="27"/>
      <c r="P310" s="5"/>
      <c r="Q310" s="31"/>
      <c r="R310" s="31"/>
      <c r="S310" s="23"/>
      <c r="T310" s="23"/>
      <c r="U310" s="13"/>
      <c r="V310" s="19"/>
      <c r="W310" s="19"/>
      <c r="X310" s="13"/>
      <c r="Y310" s="13"/>
      <c r="Z310" s="19"/>
      <c r="AA310" s="19"/>
    </row>
    <row r="311" spans="1:27" x14ac:dyDescent="0.25">
      <c r="A311" s="11"/>
      <c r="B311" s="12"/>
      <c r="C311" s="27"/>
      <c r="D311" s="27"/>
      <c r="E311" s="27"/>
      <c r="F311" s="27"/>
      <c r="G311" s="27"/>
      <c r="H311" s="34"/>
      <c r="I311" s="34"/>
      <c r="J311" s="27"/>
      <c r="K311" s="27"/>
      <c r="L311" s="27"/>
      <c r="M311" s="5"/>
      <c r="N311" s="27"/>
      <c r="O311" s="27"/>
      <c r="P311" s="5"/>
      <c r="Q311" s="31"/>
      <c r="R311" s="31"/>
      <c r="S311" s="23"/>
      <c r="T311" s="23"/>
      <c r="U311" s="13"/>
      <c r="V311" s="19"/>
      <c r="W311" s="19"/>
      <c r="X311" s="13"/>
      <c r="Y311" s="13"/>
      <c r="Z311" s="19"/>
      <c r="AA311" s="19"/>
    </row>
    <row r="312" spans="1:27" x14ac:dyDescent="0.25">
      <c r="A312" s="11"/>
      <c r="B312" s="12"/>
      <c r="C312" s="27"/>
      <c r="D312" s="27"/>
      <c r="E312" s="27"/>
      <c r="F312" s="27"/>
      <c r="G312" s="27"/>
      <c r="H312" s="34"/>
      <c r="I312" s="34"/>
      <c r="J312" s="27"/>
      <c r="K312" s="27"/>
      <c r="L312" s="27"/>
      <c r="M312" s="5"/>
      <c r="N312" s="27"/>
      <c r="O312" s="27"/>
      <c r="P312" s="5"/>
      <c r="Q312" s="31"/>
      <c r="R312" s="31"/>
      <c r="S312" s="23"/>
      <c r="T312" s="23"/>
      <c r="U312" s="13"/>
      <c r="V312" s="19"/>
      <c r="W312" s="19"/>
      <c r="X312" s="13"/>
      <c r="Y312" s="13"/>
      <c r="Z312" s="19"/>
      <c r="AA312" s="19"/>
    </row>
    <row r="313" spans="1:27" x14ac:dyDescent="0.25">
      <c r="A313" s="11"/>
      <c r="B313" s="12"/>
      <c r="C313" s="27"/>
      <c r="D313" s="27"/>
      <c r="E313" s="27"/>
      <c r="F313" s="27"/>
      <c r="G313" s="27"/>
      <c r="H313" s="34"/>
      <c r="I313" s="34"/>
      <c r="J313" s="27"/>
      <c r="K313" s="27"/>
      <c r="L313" s="27"/>
      <c r="M313" s="5"/>
      <c r="N313" s="27"/>
      <c r="O313" s="27"/>
      <c r="P313" s="5"/>
      <c r="Q313" s="31"/>
      <c r="R313" s="31"/>
      <c r="S313" s="23"/>
      <c r="T313" s="23"/>
      <c r="U313" s="13"/>
      <c r="V313" s="19"/>
      <c r="W313" s="19"/>
      <c r="X313" s="13"/>
      <c r="Y313" s="13"/>
      <c r="Z313" s="19"/>
      <c r="AA313" s="19"/>
    </row>
    <row r="314" spans="1:27" x14ac:dyDescent="0.25">
      <c r="A314" s="11"/>
      <c r="B314" s="12"/>
      <c r="C314" s="27"/>
      <c r="D314" s="27"/>
      <c r="E314" s="27"/>
      <c r="F314" s="27"/>
      <c r="G314" s="27"/>
      <c r="H314" s="34"/>
      <c r="I314" s="34"/>
      <c r="J314" s="27"/>
      <c r="K314" s="27"/>
      <c r="L314" s="27"/>
      <c r="M314" s="5"/>
      <c r="N314" s="27"/>
      <c r="O314" s="27"/>
      <c r="P314" s="5"/>
      <c r="Q314" s="31"/>
      <c r="R314" s="31"/>
      <c r="S314" s="23"/>
      <c r="T314" s="23"/>
      <c r="U314" s="13"/>
      <c r="V314" s="19"/>
      <c r="W314" s="19"/>
      <c r="X314" s="13"/>
      <c r="Y314" s="13"/>
      <c r="Z314" s="19"/>
      <c r="AA314" s="19"/>
    </row>
    <row r="315" spans="1:27" x14ac:dyDescent="0.25">
      <c r="A315" s="11"/>
      <c r="B315" s="12"/>
      <c r="C315" s="27"/>
      <c r="D315" s="27"/>
      <c r="E315" s="27"/>
      <c r="F315" s="27"/>
      <c r="G315" s="27"/>
      <c r="H315" s="34"/>
      <c r="I315" s="34"/>
      <c r="J315" s="27"/>
      <c r="K315" s="27"/>
      <c r="L315" s="27"/>
      <c r="M315" s="5"/>
      <c r="N315" s="27"/>
      <c r="O315" s="27"/>
      <c r="P315" s="5"/>
      <c r="Q315" s="31"/>
      <c r="R315" s="31"/>
      <c r="S315" s="23"/>
      <c r="T315" s="23"/>
      <c r="U315" s="13"/>
      <c r="V315" s="19"/>
      <c r="W315" s="19"/>
      <c r="X315" s="13"/>
      <c r="Y315" s="13"/>
      <c r="Z315" s="19"/>
      <c r="AA315" s="19"/>
    </row>
    <row r="316" spans="1:27" x14ac:dyDescent="0.25">
      <c r="A316" s="11"/>
      <c r="B316" s="12"/>
      <c r="C316" s="27"/>
      <c r="D316" s="27"/>
      <c r="E316" s="27"/>
      <c r="F316" s="27"/>
      <c r="G316" s="27"/>
      <c r="H316" s="34"/>
      <c r="I316" s="34"/>
      <c r="J316" s="27"/>
      <c r="K316" s="27"/>
      <c r="L316" s="27"/>
      <c r="M316" s="5"/>
      <c r="N316" s="27"/>
      <c r="O316" s="27"/>
      <c r="P316" s="5"/>
      <c r="Q316" s="31"/>
      <c r="R316" s="31"/>
      <c r="S316" s="23"/>
      <c r="T316" s="23"/>
      <c r="U316" s="13"/>
      <c r="V316" s="19"/>
      <c r="W316" s="19"/>
      <c r="X316" s="13"/>
      <c r="Y316" s="13"/>
      <c r="Z316" s="19"/>
      <c r="AA316" s="19"/>
    </row>
    <row r="317" spans="1:27" x14ac:dyDescent="0.25">
      <c r="A317" s="11"/>
      <c r="B317" s="12"/>
      <c r="C317" s="27"/>
      <c r="D317" s="27"/>
      <c r="E317" s="27"/>
      <c r="F317" s="27"/>
      <c r="G317" s="27"/>
      <c r="H317" s="34"/>
      <c r="I317" s="34"/>
      <c r="J317" s="27"/>
      <c r="K317" s="27"/>
      <c r="L317" s="27"/>
      <c r="M317" s="5"/>
      <c r="N317" s="27"/>
      <c r="O317" s="27"/>
      <c r="P317" s="5"/>
      <c r="Q317" s="31"/>
      <c r="R317" s="31"/>
      <c r="S317" s="23"/>
      <c r="T317" s="23"/>
      <c r="U317" s="13"/>
      <c r="V317" s="19"/>
      <c r="W317" s="19"/>
      <c r="X317" s="13"/>
      <c r="Y317" s="13"/>
      <c r="Z317" s="19"/>
      <c r="AA317" s="19"/>
    </row>
    <row r="318" spans="1:27" x14ac:dyDescent="0.25">
      <c r="A318" s="11"/>
      <c r="B318" s="12"/>
      <c r="C318" s="27"/>
      <c r="D318" s="27"/>
      <c r="E318" s="27"/>
      <c r="F318" s="27"/>
      <c r="G318" s="27"/>
      <c r="H318" s="34"/>
      <c r="I318" s="34"/>
      <c r="J318" s="27"/>
      <c r="K318" s="27"/>
      <c r="L318" s="27"/>
      <c r="M318" s="5"/>
      <c r="N318" s="27"/>
      <c r="O318" s="27"/>
      <c r="P318" s="5"/>
      <c r="Q318" s="31"/>
      <c r="R318" s="31"/>
      <c r="S318" s="23"/>
      <c r="T318" s="23"/>
      <c r="U318" s="13"/>
      <c r="V318" s="19"/>
      <c r="W318" s="19"/>
      <c r="X318" s="13"/>
      <c r="Y318" s="13"/>
      <c r="Z318" s="19"/>
      <c r="AA318" s="19"/>
    </row>
    <row r="319" spans="1:27" x14ac:dyDescent="0.25">
      <c r="A319" s="11"/>
      <c r="B319" s="12"/>
      <c r="C319" s="27"/>
      <c r="D319" s="27"/>
      <c r="E319" s="27"/>
      <c r="F319" s="27"/>
      <c r="G319" s="27"/>
      <c r="H319" s="34"/>
      <c r="I319" s="34"/>
      <c r="J319" s="27"/>
      <c r="K319" s="27"/>
      <c r="L319" s="27"/>
      <c r="M319" s="5"/>
      <c r="N319" s="27"/>
      <c r="O319" s="27"/>
      <c r="P319" s="5"/>
      <c r="Q319" s="31"/>
      <c r="R319" s="31"/>
      <c r="S319" s="23"/>
      <c r="T319" s="23"/>
      <c r="U319" s="13"/>
      <c r="V319" s="19"/>
      <c r="W319" s="19"/>
      <c r="X319" s="13"/>
      <c r="Y319" s="13"/>
      <c r="Z319" s="19"/>
      <c r="AA319" s="19"/>
    </row>
    <row r="320" spans="1:27" x14ac:dyDescent="0.25">
      <c r="A320" s="11"/>
      <c r="B320" s="12"/>
      <c r="C320" s="27"/>
      <c r="D320" s="27"/>
      <c r="E320" s="27"/>
      <c r="F320" s="27"/>
      <c r="G320" s="27"/>
      <c r="H320" s="34"/>
      <c r="I320" s="34"/>
      <c r="J320" s="27"/>
      <c r="K320" s="27"/>
      <c r="L320" s="27"/>
      <c r="M320" s="5"/>
      <c r="N320" s="27"/>
      <c r="O320" s="27"/>
      <c r="P320" s="5"/>
      <c r="Q320" s="31"/>
      <c r="R320" s="31"/>
      <c r="S320" s="23"/>
      <c r="T320" s="23"/>
      <c r="U320" s="13"/>
      <c r="V320" s="19"/>
      <c r="W320" s="19"/>
      <c r="X320" s="13"/>
      <c r="Y320" s="13"/>
      <c r="Z320" s="19"/>
      <c r="AA320" s="19"/>
    </row>
    <row r="321" spans="1:27" x14ac:dyDescent="0.25">
      <c r="A321" s="11"/>
      <c r="B321" s="12"/>
      <c r="C321" s="27"/>
      <c r="D321" s="27"/>
      <c r="E321" s="27"/>
      <c r="F321" s="27"/>
      <c r="G321" s="27"/>
      <c r="H321" s="34"/>
      <c r="I321" s="34"/>
      <c r="J321" s="27"/>
      <c r="K321" s="27"/>
      <c r="L321" s="27"/>
      <c r="M321" s="5"/>
      <c r="N321" s="27"/>
      <c r="O321" s="27"/>
      <c r="P321" s="5"/>
      <c r="Q321" s="31"/>
      <c r="R321" s="31"/>
      <c r="S321" s="23"/>
      <c r="T321" s="23"/>
      <c r="U321" s="13"/>
      <c r="V321" s="19"/>
      <c r="W321" s="19"/>
      <c r="X321" s="13"/>
      <c r="Y321" s="13"/>
      <c r="Z321" s="19"/>
      <c r="AA321" s="19"/>
    </row>
    <row r="322" spans="1:27" x14ac:dyDescent="0.25">
      <c r="A322" s="11"/>
      <c r="B322" s="12"/>
      <c r="C322" s="27"/>
      <c r="D322" s="27"/>
      <c r="E322" s="27"/>
      <c r="F322" s="27"/>
      <c r="G322" s="27"/>
      <c r="H322" s="34"/>
      <c r="I322" s="34"/>
      <c r="J322" s="27"/>
      <c r="K322" s="27"/>
      <c r="L322" s="27"/>
      <c r="M322" s="5"/>
      <c r="N322" s="27"/>
      <c r="O322" s="27"/>
      <c r="P322" s="5"/>
      <c r="Q322" s="31"/>
      <c r="R322" s="31"/>
      <c r="S322" s="23"/>
      <c r="T322" s="23"/>
      <c r="U322" s="13"/>
      <c r="V322" s="19"/>
      <c r="W322" s="19"/>
      <c r="X322" s="13"/>
      <c r="Y322" s="13"/>
      <c r="Z322" s="19"/>
      <c r="AA322" s="19"/>
    </row>
    <row r="323" spans="1:27" x14ac:dyDescent="0.25">
      <c r="A323" s="11"/>
      <c r="B323" s="12"/>
      <c r="C323" s="27"/>
      <c r="D323" s="27"/>
      <c r="E323" s="27"/>
      <c r="F323" s="27"/>
      <c r="G323" s="27"/>
      <c r="H323" s="34"/>
      <c r="I323" s="34"/>
      <c r="J323" s="27"/>
      <c r="K323" s="27"/>
      <c r="L323" s="27"/>
      <c r="M323" s="5"/>
      <c r="N323" s="27"/>
      <c r="O323" s="27"/>
      <c r="P323" s="5"/>
      <c r="Q323" s="31"/>
      <c r="R323" s="31"/>
      <c r="S323" s="23"/>
      <c r="T323" s="23"/>
      <c r="U323" s="13"/>
      <c r="V323" s="19"/>
      <c r="W323" s="19"/>
      <c r="X323" s="13"/>
      <c r="Y323" s="13"/>
      <c r="Z323" s="19"/>
      <c r="AA323" s="19"/>
    </row>
    <row r="324" spans="1:27" x14ac:dyDescent="0.25">
      <c r="A324" s="11"/>
      <c r="B324" s="12"/>
      <c r="C324" s="27"/>
      <c r="D324" s="27"/>
      <c r="E324" s="27"/>
      <c r="F324" s="27"/>
      <c r="G324" s="27"/>
      <c r="H324" s="34"/>
      <c r="I324" s="34"/>
      <c r="J324" s="27"/>
      <c r="K324" s="27"/>
      <c r="L324" s="27"/>
      <c r="M324" s="5"/>
      <c r="N324" s="27"/>
      <c r="O324" s="27"/>
      <c r="P324" s="5"/>
      <c r="Q324" s="31"/>
      <c r="R324" s="31"/>
      <c r="S324" s="23"/>
      <c r="T324" s="23"/>
      <c r="U324" s="13"/>
      <c r="V324" s="19"/>
      <c r="W324" s="19"/>
      <c r="X324" s="13"/>
      <c r="Y324" s="13"/>
      <c r="Z324" s="19"/>
      <c r="AA324" s="19"/>
    </row>
    <row r="325" spans="1:27" x14ac:dyDescent="0.25">
      <c r="A325" s="11"/>
      <c r="B325" s="12"/>
      <c r="C325" s="27"/>
      <c r="D325" s="27"/>
      <c r="E325" s="27"/>
      <c r="F325" s="27"/>
      <c r="G325" s="27"/>
      <c r="H325" s="34"/>
      <c r="I325" s="34"/>
      <c r="J325" s="27"/>
      <c r="K325" s="27"/>
      <c r="L325" s="27"/>
      <c r="M325" s="5"/>
      <c r="N325" s="27"/>
      <c r="O325" s="27"/>
      <c r="P325" s="5"/>
      <c r="Q325" s="31"/>
      <c r="R325" s="31"/>
      <c r="S325" s="23"/>
      <c r="T325" s="23"/>
      <c r="U325" s="13"/>
      <c r="V325" s="19"/>
      <c r="W325" s="19"/>
      <c r="X325" s="13"/>
      <c r="Y325" s="13"/>
      <c r="Z325" s="19"/>
      <c r="AA325" s="19"/>
    </row>
    <row r="326" spans="1:27" x14ac:dyDescent="0.25">
      <c r="A326" s="11"/>
      <c r="B326" s="12"/>
      <c r="C326" s="27"/>
      <c r="D326" s="27"/>
      <c r="E326" s="27"/>
      <c r="F326" s="27"/>
      <c r="G326" s="27"/>
      <c r="H326" s="34"/>
      <c r="I326" s="34"/>
      <c r="J326" s="27"/>
      <c r="K326" s="27"/>
      <c r="L326" s="27"/>
      <c r="M326" s="5"/>
      <c r="N326" s="27"/>
      <c r="O326" s="27"/>
      <c r="P326" s="5"/>
      <c r="Q326" s="31"/>
      <c r="R326" s="31"/>
      <c r="S326" s="23"/>
      <c r="T326" s="23"/>
      <c r="U326" s="13"/>
      <c r="V326" s="19"/>
      <c r="W326" s="19"/>
      <c r="X326" s="13"/>
      <c r="Y326" s="13"/>
      <c r="Z326" s="19"/>
      <c r="AA326" s="19"/>
    </row>
    <row r="327" spans="1:27" x14ac:dyDescent="0.25">
      <c r="A327" s="11"/>
      <c r="B327" s="12"/>
      <c r="C327" s="27"/>
      <c r="D327" s="27"/>
      <c r="E327" s="27"/>
      <c r="F327" s="27"/>
      <c r="G327" s="27"/>
      <c r="H327" s="34"/>
      <c r="I327" s="34"/>
      <c r="J327" s="27"/>
      <c r="K327" s="27"/>
      <c r="L327" s="27"/>
      <c r="M327" s="5"/>
      <c r="N327" s="27"/>
      <c r="O327" s="27"/>
      <c r="P327" s="5"/>
      <c r="Q327" s="31"/>
      <c r="R327" s="31"/>
      <c r="S327" s="23"/>
      <c r="T327" s="23"/>
      <c r="U327" s="13"/>
      <c r="V327" s="19"/>
      <c r="W327" s="19"/>
      <c r="X327" s="13"/>
      <c r="Y327" s="13"/>
      <c r="Z327" s="19"/>
      <c r="AA327" s="19"/>
    </row>
    <row r="328" spans="1:27" x14ac:dyDescent="0.25">
      <c r="A328" s="11"/>
      <c r="B328" s="12"/>
      <c r="C328" s="27"/>
      <c r="D328" s="27"/>
      <c r="E328" s="27"/>
      <c r="F328" s="27"/>
      <c r="G328" s="27"/>
      <c r="H328" s="34"/>
      <c r="I328" s="34"/>
      <c r="J328" s="27"/>
      <c r="K328" s="27"/>
      <c r="L328" s="27"/>
      <c r="M328" s="5"/>
      <c r="N328" s="27"/>
      <c r="O328" s="27"/>
      <c r="P328" s="5"/>
      <c r="Q328" s="31"/>
      <c r="R328" s="31"/>
      <c r="S328" s="23"/>
      <c r="T328" s="23"/>
      <c r="U328" s="13"/>
      <c r="V328" s="19"/>
      <c r="W328" s="19"/>
      <c r="X328" s="13"/>
      <c r="Y328" s="13"/>
      <c r="Z328" s="19"/>
      <c r="AA328" s="19"/>
    </row>
    <row r="329" spans="1:27" x14ac:dyDescent="0.25">
      <c r="A329" s="11"/>
      <c r="B329" s="12"/>
      <c r="C329" s="27"/>
      <c r="D329" s="27"/>
      <c r="E329" s="27"/>
      <c r="F329" s="27"/>
      <c r="G329" s="27"/>
      <c r="H329" s="34"/>
      <c r="I329" s="34"/>
      <c r="J329" s="27"/>
      <c r="K329" s="27"/>
      <c r="L329" s="27"/>
      <c r="M329" s="5"/>
      <c r="N329" s="27"/>
      <c r="O329" s="27"/>
      <c r="P329" s="5"/>
      <c r="Q329" s="31"/>
      <c r="R329" s="31"/>
      <c r="S329" s="23"/>
      <c r="T329" s="23"/>
      <c r="U329" s="13"/>
      <c r="V329" s="19"/>
      <c r="W329" s="19"/>
      <c r="X329" s="13"/>
      <c r="Y329" s="13"/>
      <c r="Z329" s="19"/>
      <c r="AA329" s="19"/>
    </row>
    <row r="330" spans="1:27" x14ac:dyDescent="0.25">
      <c r="A330" s="11"/>
      <c r="B330" s="12"/>
      <c r="C330" s="27"/>
      <c r="D330" s="27"/>
      <c r="E330" s="27"/>
      <c r="F330" s="27"/>
      <c r="G330" s="27"/>
      <c r="H330" s="34"/>
      <c r="I330" s="34"/>
      <c r="J330" s="27"/>
      <c r="K330" s="27"/>
      <c r="L330" s="27"/>
      <c r="M330" s="5"/>
      <c r="N330" s="27"/>
      <c r="O330" s="27"/>
      <c r="P330" s="5"/>
      <c r="Q330" s="31"/>
      <c r="R330" s="31"/>
      <c r="S330" s="23"/>
      <c r="T330" s="23"/>
      <c r="U330" s="13"/>
      <c r="V330" s="19"/>
      <c r="W330" s="19"/>
      <c r="X330" s="13"/>
      <c r="Y330" s="13"/>
      <c r="Z330" s="19"/>
      <c r="AA330" s="19"/>
    </row>
    <row r="331" spans="1:27" x14ac:dyDescent="0.25">
      <c r="A331" s="11"/>
      <c r="B331" s="12"/>
      <c r="C331" s="27"/>
      <c r="D331" s="27"/>
      <c r="E331" s="27"/>
      <c r="F331" s="27"/>
      <c r="G331" s="27"/>
      <c r="H331" s="34"/>
      <c r="I331" s="34"/>
      <c r="J331" s="27"/>
      <c r="K331" s="27"/>
      <c r="L331" s="27"/>
      <c r="M331" s="5"/>
      <c r="N331" s="27"/>
      <c r="O331" s="27"/>
      <c r="P331" s="5"/>
      <c r="Q331" s="31"/>
      <c r="R331" s="31"/>
      <c r="S331" s="23"/>
      <c r="T331" s="23"/>
      <c r="U331" s="13"/>
      <c r="V331" s="19"/>
      <c r="W331" s="19"/>
      <c r="X331" s="13"/>
      <c r="Y331" s="13"/>
      <c r="Z331" s="19"/>
      <c r="AA331" s="19"/>
    </row>
    <row r="332" spans="1:27" x14ac:dyDescent="0.25">
      <c r="A332" s="11"/>
      <c r="B332" s="12"/>
      <c r="C332" s="27"/>
      <c r="D332" s="27"/>
      <c r="E332" s="27"/>
      <c r="F332" s="27"/>
      <c r="G332" s="27"/>
      <c r="H332" s="34"/>
      <c r="I332" s="34"/>
      <c r="J332" s="27"/>
      <c r="K332" s="27"/>
      <c r="L332" s="27"/>
      <c r="M332" s="5"/>
      <c r="N332" s="27"/>
      <c r="O332" s="27"/>
      <c r="P332" s="5"/>
      <c r="Q332" s="31"/>
      <c r="R332" s="31"/>
      <c r="S332" s="23"/>
      <c r="T332" s="23"/>
      <c r="U332" s="13"/>
      <c r="V332" s="19"/>
      <c r="W332" s="19"/>
      <c r="X332" s="13"/>
      <c r="Y332" s="13"/>
      <c r="Z332" s="19"/>
      <c r="AA332" s="19"/>
    </row>
    <row r="333" spans="1:27" x14ac:dyDescent="0.25">
      <c r="A333" s="11"/>
      <c r="B333" s="12"/>
      <c r="C333" s="27"/>
      <c r="D333" s="27"/>
      <c r="E333" s="27"/>
      <c r="F333" s="27"/>
      <c r="G333" s="27"/>
      <c r="H333" s="34"/>
      <c r="I333" s="34"/>
      <c r="J333" s="27"/>
      <c r="K333" s="27"/>
      <c r="L333" s="27"/>
      <c r="M333" s="5"/>
      <c r="N333" s="27"/>
      <c r="O333" s="27"/>
      <c r="P333" s="5"/>
      <c r="Q333" s="31"/>
      <c r="R333" s="31"/>
      <c r="S333" s="23"/>
      <c r="T333" s="23"/>
      <c r="U333" s="13"/>
      <c r="V333" s="19"/>
      <c r="W333" s="19"/>
      <c r="X333" s="13"/>
      <c r="Y333" s="13"/>
      <c r="Z333" s="19"/>
      <c r="AA333" s="19"/>
    </row>
    <row r="334" spans="1:27" x14ac:dyDescent="0.25">
      <c r="A334" s="11"/>
      <c r="B334" s="12"/>
      <c r="C334" s="27"/>
      <c r="D334" s="27"/>
      <c r="E334" s="27"/>
      <c r="F334" s="27"/>
      <c r="G334" s="27"/>
      <c r="H334" s="34"/>
      <c r="I334" s="34"/>
      <c r="J334" s="27"/>
      <c r="K334" s="27"/>
      <c r="L334" s="27"/>
      <c r="M334" s="5"/>
      <c r="N334" s="27"/>
      <c r="O334" s="27"/>
      <c r="P334" s="5"/>
      <c r="Q334" s="31"/>
      <c r="R334" s="31"/>
      <c r="S334" s="23"/>
      <c r="T334" s="23"/>
      <c r="U334" s="13"/>
      <c r="V334" s="19"/>
      <c r="W334" s="19"/>
      <c r="X334" s="13"/>
      <c r="Y334" s="13"/>
      <c r="Z334" s="19"/>
      <c r="AA334" s="19"/>
    </row>
    <row r="335" spans="1:27" x14ac:dyDescent="0.25">
      <c r="A335" s="11"/>
      <c r="B335" s="12"/>
      <c r="C335" s="27"/>
      <c r="D335" s="27"/>
      <c r="E335" s="27"/>
      <c r="F335" s="27"/>
      <c r="G335" s="27"/>
      <c r="H335" s="34"/>
      <c r="I335" s="34"/>
      <c r="J335" s="27"/>
      <c r="K335" s="27"/>
      <c r="L335" s="27"/>
      <c r="M335" s="5"/>
      <c r="N335" s="27"/>
      <c r="O335" s="27"/>
      <c r="P335" s="5"/>
      <c r="Q335" s="31"/>
      <c r="R335" s="31"/>
      <c r="S335" s="23"/>
      <c r="T335" s="23"/>
      <c r="U335" s="13"/>
      <c r="V335" s="19"/>
      <c r="W335" s="19"/>
      <c r="X335" s="13"/>
      <c r="Y335" s="13"/>
      <c r="Z335" s="19"/>
      <c r="AA335" s="19"/>
    </row>
    <row r="336" spans="1:27" x14ac:dyDescent="0.25">
      <c r="A336" s="11"/>
      <c r="B336" s="12"/>
      <c r="C336" s="27"/>
      <c r="D336" s="27"/>
      <c r="E336" s="27"/>
      <c r="F336" s="27"/>
      <c r="G336" s="27"/>
      <c r="H336" s="34"/>
      <c r="I336" s="34"/>
      <c r="J336" s="27"/>
      <c r="K336" s="27"/>
      <c r="L336" s="27"/>
      <c r="M336" s="5"/>
      <c r="N336" s="27"/>
      <c r="O336" s="27"/>
      <c r="P336" s="5"/>
      <c r="Q336" s="31"/>
      <c r="R336" s="31"/>
      <c r="S336" s="23"/>
      <c r="T336" s="23"/>
      <c r="U336" s="13"/>
      <c r="V336" s="19"/>
      <c r="W336" s="19"/>
      <c r="X336" s="13"/>
      <c r="Y336" s="13"/>
      <c r="Z336" s="19"/>
      <c r="AA336" s="19"/>
    </row>
    <row r="337" spans="1:27" x14ac:dyDescent="0.25">
      <c r="A337" s="11"/>
      <c r="B337" s="12"/>
      <c r="C337" s="27"/>
      <c r="D337" s="27"/>
      <c r="E337" s="27"/>
      <c r="F337" s="27"/>
      <c r="G337" s="27"/>
      <c r="H337" s="34"/>
      <c r="I337" s="34"/>
      <c r="J337" s="27"/>
      <c r="K337" s="27"/>
      <c r="L337" s="27"/>
      <c r="M337" s="5"/>
      <c r="N337" s="27"/>
      <c r="O337" s="27"/>
      <c r="P337" s="5"/>
      <c r="Q337" s="31"/>
      <c r="R337" s="31"/>
      <c r="S337" s="23"/>
      <c r="T337" s="23"/>
      <c r="U337" s="13"/>
      <c r="V337" s="19"/>
      <c r="W337" s="19"/>
      <c r="X337" s="13"/>
      <c r="Y337" s="13"/>
      <c r="Z337" s="19"/>
      <c r="AA337" s="19"/>
    </row>
    <row r="338" spans="1:27" x14ac:dyDescent="0.25">
      <c r="A338" s="11"/>
      <c r="B338" s="12"/>
      <c r="C338" s="27"/>
      <c r="D338" s="27"/>
      <c r="E338" s="27"/>
      <c r="F338" s="27"/>
      <c r="G338" s="27"/>
      <c r="H338" s="34"/>
      <c r="I338" s="34"/>
      <c r="J338" s="27"/>
      <c r="K338" s="27"/>
      <c r="L338" s="27"/>
      <c r="M338" s="5"/>
      <c r="N338" s="27"/>
      <c r="O338" s="27"/>
      <c r="P338" s="5"/>
      <c r="Q338" s="31"/>
      <c r="R338" s="31"/>
      <c r="S338" s="23"/>
      <c r="T338" s="23"/>
      <c r="U338" s="13"/>
      <c r="V338" s="19"/>
      <c r="W338" s="19"/>
      <c r="X338" s="13"/>
      <c r="Y338" s="13"/>
      <c r="Z338" s="19"/>
      <c r="AA338" s="19"/>
    </row>
    <row r="339" spans="1:27" x14ac:dyDescent="0.25">
      <c r="A339" s="11"/>
      <c r="B339" s="12"/>
      <c r="C339" s="27"/>
      <c r="D339" s="27"/>
      <c r="E339" s="27"/>
      <c r="F339" s="27"/>
      <c r="G339" s="27"/>
      <c r="H339" s="34"/>
      <c r="I339" s="34"/>
      <c r="J339" s="27"/>
      <c r="K339" s="27"/>
      <c r="L339" s="27"/>
      <c r="M339" s="5"/>
      <c r="N339" s="27"/>
      <c r="O339" s="27"/>
      <c r="P339" s="5"/>
      <c r="Q339" s="31"/>
      <c r="R339" s="31"/>
      <c r="S339" s="23"/>
      <c r="T339" s="23"/>
      <c r="U339" s="13"/>
      <c r="V339" s="19"/>
      <c r="W339" s="19"/>
      <c r="X339" s="13"/>
      <c r="Y339" s="13"/>
      <c r="Z339" s="19"/>
      <c r="AA339" s="19"/>
    </row>
    <row r="340" spans="1:27" x14ac:dyDescent="0.25">
      <c r="A340" s="11"/>
      <c r="B340" s="12"/>
      <c r="C340" s="27"/>
      <c r="D340" s="27"/>
      <c r="E340" s="27"/>
      <c r="F340" s="27"/>
      <c r="G340" s="27"/>
      <c r="H340" s="34"/>
      <c r="I340" s="34"/>
      <c r="J340" s="27"/>
      <c r="K340" s="27"/>
      <c r="L340" s="27"/>
      <c r="M340" s="5"/>
      <c r="N340" s="27"/>
      <c r="O340" s="27"/>
      <c r="P340" s="5"/>
      <c r="Q340" s="31"/>
      <c r="R340" s="31"/>
      <c r="S340" s="23"/>
      <c r="T340" s="23"/>
      <c r="U340" s="13"/>
      <c r="V340" s="19"/>
      <c r="W340" s="19"/>
      <c r="X340" s="13"/>
      <c r="Y340" s="13"/>
      <c r="Z340" s="19"/>
      <c r="AA340" s="19"/>
    </row>
    <row r="341" spans="1:27" x14ac:dyDescent="0.25">
      <c r="A341" s="11"/>
      <c r="B341" s="12"/>
      <c r="C341" s="27"/>
      <c r="D341" s="27"/>
      <c r="E341" s="27"/>
      <c r="F341" s="27"/>
      <c r="G341" s="27"/>
      <c r="H341" s="34"/>
      <c r="I341" s="34"/>
      <c r="J341" s="27"/>
      <c r="K341" s="27"/>
      <c r="L341" s="27"/>
      <c r="M341" s="5"/>
      <c r="N341" s="27"/>
      <c r="O341" s="27"/>
      <c r="P341" s="5"/>
      <c r="Q341" s="31"/>
      <c r="R341" s="31"/>
      <c r="S341" s="23"/>
      <c r="T341" s="23"/>
      <c r="U341" s="13"/>
      <c r="V341" s="19"/>
      <c r="W341" s="19"/>
      <c r="X341" s="13"/>
      <c r="Y341" s="13"/>
      <c r="Z341" s="19"/>
      <c r="AA341" s="19"/>
    </row>
    <row r="342" spans="1:27" x14ac:dyDescent="0.25">
      <c r="A342" s="11"/>
      <c r="B342" s="12"/>
      <c r="C342" s="27"/>
      <c r="D342" s="27"/>
      <c r="E342" s="27"/>
      <c r="F342" s="27"/>
      <c r="G342" s="27"/>
      <c r="H342" s="34"/>
      <c r="I342" s="34"/>
      <c r="J342" s="27"/>
      <c r="K342" s="27"/>
      <c r="L342" s="27"/>
      <c r="M342" s="5"/>
      <c r="N342" s="27"/>
      <c r="O342" s="27"/>
      <c r="P342" s="5"/>
      <c r="Q342" s="31"/>
      <c r="R342" s="31"/>
      <c r="S342" s="23"/>
      <c r="T342" s="23"/>
      <c r="U342" s="13"/>
      <c r="V342" s="19"/>
      <c r="W342" s="19"/>
      <c r="X342" s="13"/>
      <c r="Y342" s="13"/>
      <c r="Z342" s="19"/>
      <c r="AA342" s="19"/>
    </row>
    <row r="343" spans="1:27" x14ac:dyDescent="0.25">
      <c r="A343" s="11"/>
      <c r="B343" s="12"/>
      <c r="C343" s="27"/>
      <c r="D343" s="27"/>
      <c r="E343" s="27"/>
      <c r="F343" s="27"/>
      <c r="G343" s="27"/>
      <c r="H343" s="34"/>
      <c r="I343" s="34"/>
      <c r="J343" s="27"/>
      <c r="K343" s="27"/>
      <c r="L343" s="27"/>
      <c r="M343" s="5"/>
      <c r="N343" s="27"/>
      <c r="O343" s="27"/>
      <c r="P343" s="5"/>
      <c r="Q343" s="31"/>
      <c r="R343" s="31"/>
      <c r="S343" s="23"/>
      <c r="T343" s="23"/>
      <c r="U343" s="13"/>
      <c r="V343" s="19"/>
      <c r="W343" s="19"/>
      <c r="X343" s="13"/>
      <c r="Y343" s="13"/>
      <c r="Z343" s="19"/>
      <c r="AA343" s="19"/>
    </row>
    <row r="344" spans="1:27" x14ac:dyDescent="0.25">
      <c r="A344" s="11"/>
      <c r="B344" s="12"/>
      <c r="C344" s="27"/>
      <c r="D344" s="27"/>
      <c r="E344" s="27"/>
      <c r="F344" s="27"/>
      <c r="G344" s="27"/>
      <c r="H344" s="34"/>
      <c r="I344" s="34"/>
      <c r="J344" s="27"/>
      <c r="K344" s="27"/>
      <c r="L344" s="27"/>
      <c r="M344" s="5"/>
      <c r="N344" s="27"/>
      <c r="O344" s="27"/>
      <c r="P344" s="5"/>
      <c r="Q344" s="31"/>
      <c r="R344" s="31"/>
      <c r="S344" s="23"/>
      <c r="T344" s="23"/>
      <c r="U344" s="13"/>
      <c r="V344" s="19"/>
      <c r="W344" s="19"/>
      <c r="X344" s="13"/>
      <c r="Y344" s="13"/>
      <c r="Z344" s="19"/>
      <c r="AA344" s="19"/>
    </row>
    <row r="345" spans="1:27" x14ac:dyDescent="0.25">
      <c r="A345" s="11"/>
      <c r="B345" s="12"/>
      <c r="C345" s="27"/>
      <c r="D345" s="27"/>
      <c r="E345" s="27"/>
      <c r="F345" s="27"/>
      <c r="G345" s="27"/>
      <c r="H345" s="34"/>
      <c r="I345" s="34"/>
      <c r="J345" s="27"/>
      <c r="K345" s="27"/>
      <c r="L345" s="27"/>
      <c r="M345" s="5"/>
      <c r="N345" s="27"/>
      <c r="O345" s="27"/>
      <c r="P345" s="5"/>
      <c r="Q345" s="31"/>
      <c r="R345" s="31"/>
      <c r="S345" s="23"/>
      <c r="T345" s="23"/>
      <c r="U345" s="13"/>
      <c r="V345" s="19"/>
      <c r="W345" s="19"/>
      <c r="X345" s="13"/>
      <c r="Y345" s="13"/>
      <c r="Z345" s="19"/>
      <c r="AA345" s="19"/>
    </row>
    <row r="346" spans="1:27" x14ac:dyDescent="0.25">
      <c r="A346" s="11"/>
      <c r="B346" s="12"/>
      <c r="C346" s="27"/>
      <c r="D346" s="27"/>
      <c r="E346" s="27"/>
      <c r="F346" s="27"/>
      <c r="G346" s="27"/>
      <c r="H346" s="34"/>
      <c r="I346" s="34"/>
      <c r="J346" s="27"/>
      <c r="K346" s="27"/>
      <c r="L346" s="27"/>
      <c r="M346" s="5"/>
      <c r="N346" s="27"/>
      <c r="O346" s="27"/>
      <c r="P346" s="5"/>
      <c r="Q346" s="31"/>
      <c r="R346" s="31"/>
      <c r="S346" s="23"/>
      <c r="T346" s="23"/>
      <c r="U346" s="13"/>
      <c r="V346" s="19"/>
      <c r="W346" s="19"/>
      <c r="X346" s="13"/>
      <c r="Y346" s="13"/>
      <c r="Z346" s="19"/>
      <c r="AA346" s="19"/>
    </row>
    <row r="347" spans="1:27" x14ac:dyDescent="0.25">
      <c r="A347" s="11"/>
      <c r="B347" s="12"/>
      <c r="C347" s="27"/>
      <c r="D347" s="27"/>
      <c r="E347" s="27"/>
      <c r="F347" s="27"/>
      <c r="G347" s="27"/>
      <c r="H347" s="34"/>
      <c r="I347" s="34"/>
      <c r="J347" s="27"/>
      <c r="K347" s="27"/>
      <c r="L347" s="27"/>
      <c r="M347" s="5"/>
      <c r="N347" s="27"/>
      <c r="O347" s="27"/>
      <c r="P347" s="5"/>
      <c r="Q347" s="31"/>
      <c r="R347" s="31"/>
      <c r="S347" s="23"/>
      <c r="T347" s="23"/>
      <c r="U347" s="13"/>
      <c r="V347" s="19"/>
      <c r="W347" s="19"/>
      <c r="X347" s="13"/>
      <c r="Y347" s="13"/>
      <c r="Z347" s="19"/>
      <c r="AA347" s="19"/>
    </row>
    <row r="348" spans="1:27" x14ac:dyDescent="0.25">
      <c r="A348" s="11"/>
      <c r="B348" s="12"/>
      <c r="C348" s="27"/>
      <c r="D348" s="27"/>
      <c r="E348" s="27"/>
      <c r="F348" s="27"/>
      <c r="G348" s="27"/>
      <c r="H348" s="34"/>
      <c r="I348" s="34"/>
      <c r="J348" s="27"/>
      <c r="K348" s="27"/>
      <c r="L348" s="27"/>
      <c r="M348" s="5"/>
      <c r="N348" s="27"/>
      <c r="O348" s="27"/>
      <c r="P348" s="5"/>
      <c r="Q348" s="31"/>
      <c r="R348" s="31"/>
      <c r="S348" s="23"/>
      <c r="T348" s="23"/>
      <c r="U348" s="13"/>
      <c r="V348" s="19"/>
      <c r="W348" s="19"/>
      <c r="X348" s="13"/>
      <c r="Y348" s="13"/>
      <c r="Z348" s="19"/>
      <c r="AA348" s="19"/>
    </row>
    <row r="349" spans="1:27" x14ac:dyDescent="0.25">
      <c r="A349" s="11"/>
      <c r="B349" s="12"/>
      <c r="C349" s="27"/>
      <c r="D349" s="27"/>
      <c r="E349" s="27"/>
      <c r="F349" s="27"/>
      <c r="G349" s="27"/>
      <c r="H349" s="34"/>
      <c r="I349" s="34"/>
      <c r="J349" s="27"/>
      <c r="K349" s="27"/>
      <c r="L349" s="27"/>
      <c r="M349" s="5"/>
      <c r="N349" s="27"/>
      <c r="O349" s="27"/>
      <c r="P349" s="5"/>
      <c r="Q349" s="31"/>
      <c r="R349" s="31"/>
      <c r="S349" s="23"/>
      <c r="T349" s="23"/>
      <c r="U349" s="13"/>
      <c r="V349" s="19"/>
      <c r="W349" s="19"/>
      <c r="X349" s="13"/>
      <c r="Y349" s="13"/>
      <c r="Z349" s="19"/>
      <c r="AA349" s="19"/>
    </row>
    <row r="350" spans="1:27" x14ac:dyDescent="0.25">
      <c r="A350" s="11"/>
      <c r="B350" s="12"/>
      <c r="C350" s="27"/>
      <c r="D350" s="27"/>
      <c r="E350" s="27"/>
      <c r="F350" s="27"/>
      <c r="G350" s="27"/>
      <c r="H350" s="34"/>
      <c r="I350" s="34"/>
      <c r="J350" s="27"/>
      <c r="K350" s="27"/>
      <c r="L350" s="27"/>
      <c r="M350" s="5"/>
      <c r="N350" s="27"/>
      <c r="O350" s="27"/>
      <c r="P350" s="5"/>
      <c r="Q350" s="31"/>
      <c r="R350" s="31"/>
      <c r="S350" s="23"/>
      <c r="T350" s="23"/>
      <c r="U350" s="13"/>
      <c r="V350" s="19"/>
      <c r="W350" s="19"/>
      <c r="X350" s="13"/>
      <c r="Y350" s="13"/>
      <c r="Z350" s="19"/>
      <c r="AA350" s="19"/>
    </row>
    <row r="351" spans="1:27" x14ac:dyDescent="0.25">
      <c r="A351" s="11"/>
      <c r="B351" s="12"/>
      <c r="C351" s="27"/>
      <c r="D351" s="27"/>
      <c r="E351" s="27"/>
      <c r="F351" s="27"/>
      <c r="G351" s="27"/>
      <c r="H351" s="34"/>
      <c r="I351" s="34"/>
      <c r="J351" s="27"/>
      <c r="K351" s="27"/>
      <c r="L351" s="27"/>
      <c r="M351" s="5"/>
      <c r="N351" s="27"/>
      <c r="O351" s="27"/>
      <c r="P351" s="5"/>
      <c r="Q351" s="31"/>
      <c r="R351" s="31"/>
      <c r="S351" s="23"/>
      <c r="T351" s="23"/>
      <c r="U351" s="13"/>
      <c r="V351" s="19"/>
      <c r="W351" s="19"/>
      <c r="X351" s="13"/>
      <c r="Y351" s="13"/>
      <c r="Z351" s="19"/>
      <c r="AA351" s="19"/>
    </row>
    <row r="352" spans="1:27" x14ac:dyDescent="0.25">
      <c r="A352" s="11"/>
      <c r="B352" s="12"/>
      <c r="C352" s="27"/>
      <c r="D352" s="27"/>
      <c r="E352" s="27"/>
      <c r="F352" s="27"/>
      <c r="G352" s="27"/>
      <c r="H352" s="34"/>
      <c r="I352" s="34"/>
      <c r="J352" s="27"/>
      <c r="K352" s="27"/>
      <c r="L352" s="27"/>
      <c r="M352" s="5"/>
      <c r="N352" s="27"/>
      <c r="O352" s="27"/>
      <c r="P352" s="5"/>
      <c r="Q352" s="31"/>
      <c r="R352" s="31"/>
      <c r="S352" s="23"/>
      <c r="T352" s="23"/>
      <c r="U352" s="13"/>
      <c r="V352" s="19"/>
      <c r="W352" s="19"/>
      <c r="X352" s="13"/>
      <c r="Y352" s="13"/>
      <c r="Z352" s="19"/>
      <c r="AA352" s="19"/>
    </row>
    <row r="353" spans="1:27" x14ac:dyDescent="0.25">
      <c r="A353" s="11"/>
      <c r="B353" s="12"/>
      <c r="C353" s="27"/>
      <c r="D353" s="27"/>
      <c r="E353" s="27"/>
      <c r="F353" s="27"/>
      <c r="G353" s="27"/>
      <c r="H353" s="34"/>
      <c r="I353" s="34"/>
      <c r="J353" s="27"/>
      <c r="K353" s="27"/>
      <c r="L353" s="27"/>
      <c r="M353" s="5"/>
      <c r="N353" s="27"/>
      <c r="O353" s="27"/>
      <c r="P353" s="5"/>
      <c r="Q353" s="31"/>
      <c r="R353" s="31"/>
      <c r="S353" s="23"/>
      <c r="T353" s="23"/>
      <c r="U353" s="13"/>
      <c r="V353" s="19"/>
      <c r="W353" s="19"/>
      <c r="X353" s="13"/>
      <c r="Y353" s="13"/>
      <c r="Z353" s="19"/>
      <c r="AA353" s="19"/>
    </row>
    <row r="354" spans="1:27" x14ac:dyDescent="0.25">
      <c r="A354" s="11"/>
      <c r="B354" s="12"/>
      <c r="C354" s="27"/>
      <c r="D354" s="27"/>
      <c r="E354" s="27"/>
      <c r="F354" s="27"/>
      <c r="G354" s="27"/>
      <c r="H354" s="34"/>
      <c r="I354" s="34"/>
      <c r="J354" s="27"/>
      <c r="K354" s="27"/>
      <c r="L354" s="27"/>
      <c r="M354" s="5"/>
      <c r="N354" s="27"/>
      <c r="O354" s="27"/>
      <c r="P354" s="5"/>
      <c r="Q354" s="31"/>
      <c r="R354" s="31"/>
      <c r="S354" s="23"/>
      <c r="T354" s="23"/>
      <c r="U354" s="13"/>
      <c r="V354" s="19"/>
      <c r="W354" s="19"/>
      <c r="X354" s="13"/>
      <c r="Y354" s="13"/>
      <c r="Z354" s="19"/>
      <c r="AA354" s="19"/>
    </row>
    <row r="355" spans="1:27" x14ac:dyDescent="0.25">
      <c r="A355" s="11"/>
      <c r="B355" s="12"/>
      <c r="C355" s="27"/>
      <c r="D355" s="27"/>
      <c r="E355" s="27"/>
      <c r="F355" s="27"/>
      <c r="G355" s="27"/>
      <c r="H355" s="34"/>
      <c r="I355" s="34"/>
      <c r="J355" s="27"/>
      <c r="K355" s="27"/>
      <c r="L355" s="27"/>
      <c r="M355" s="5"/>
      <c r="N355" s="27"/>
      <c r="O355" s="27"/>
      <c r="P355" s="5"/>
      <c r="Q355" s="31"/>
      <c r="R355" s="31"/>
      <c r="S355" s="23"/>
      <c r="T355" s="23"/>
      <c r="U355" s="13"/>
      <c r="V355" s="19"/>
      <c r="W355" s="19"/>
      <c r="X355" s="13"/>
      <c r="Y355" s="13"/>
      <c r="Z355" s="19"/>
      <c r="AA355" s="19"/>
    </row>
    <row r="356" spans="1:27" x14ac:dyDescent="0.25">
      <c r="A356" s="11"/>
      <c r="B356" s="12"/>
      <c r="C356" s="27"/>
      <c r="D356" s="27"/>
      <c r="E356" s="27"/>
      <c r="F356" s="27"/>
      <c r="G356" s="27"/>
      <c r="H356" s="34"/>
      <c r="I356" s="34"/>
      <c r="J356" s="27"/>
      <c r="K356" s="27"/>
      <c r="L356" s="27"/>
      <c r="M356" s="5"/>
      <c r="N356" s="27"/>
      <c r="O356" s="27"/>
      <c r="P356" s="5"/>
      <c r="Q356" s="31"/>
      <c r="R356" s="31"/>
      <c r="S356" s="23"/>
      <c r="T356" s="23"/>
      <c r="U356" s="13"/>
      <c r="V356" s="19"/>
      <c r="W356" s="19"/>
      <c r="X356" s="13"/>
      <c r="Y356" s="13"/>
      <c r="Z356" s="19"/>
      <c r="AA356" s="19"/>
    </row>
    <row r="357" spans="1:27" x14ac:dyDescent="0.25">
      <c r="A357" s="11"/>
      <c r="B357" s="12"/>
      <c r="C357" s="27"/>
      <c r="D357" s="27"/>
      <c r="E357" s="27"/>
      <c r="F357" s="27"/>
      <c r="G357" s="27"/>
      <c r="H357" s="34"/>
      <c r="I357" s="34"/>
      <c r="J357" s="27"/>
      <c r="K357" s="27"/>
      <c r="L357" s="27"/>
      <c r="M357" s="5"/>
      <c r="N357" s="27"/>
      <c r="O357" s="27"/>
      <c r="P357" s="5"/>
      <c r="Q357" s="31"/>
      <c r="R357" s="31"/>
      <c r="S357" s="23"/>
      <c r="T357" s="23"/>
      <c r="U357" s="13"/>
      <c r="V357" s="19"/>
      <c r="W357" s="19"/>
      <c r="X357" s="13"/>
      <c r="Y357" s="13"/>
      <c r="Z357" s="19"/>
      <c r="AA357" s="19"/>
    </row>
    <row r="358" spans="1:27" x14ac:dyDescent="0.25">
      <c r="A358" s="11"/>
      <c r="B358" s="12"/>
      <c r="C358" s="27"/>
      <c r="D358" s="27"/>
      <c r="E358" s="27"/>
      <c r="F358" s="27"/>
      <c r="G358" s="27"/>
      <c r="H358" s="34"/>
      <c r="I358" s="34"/>
      <c r="J358" s="27"/>
      <c r="K358" s="27"/>
      <c r="L358" s="27"/>
      <c r="M358" s="5"/>
      <c r="N358" s="27"/>
      <c r="O358" s="27"/>
      <c r="P358" s="5"/>
      <c r="Q358" s="31"/>
      <c r="R358" s="31"/>
      <c r="S358" s="23"/>
      <c r="T358" s="23"/>
      <c r="U358" s="13"/>
      <c r="V358" s="19"/>
      <c r="W358" s="19"/>
      <c r="X358" s="13"/>
      <c r="Y358" s="13"/>
      <c r="Z358" s="19"/>
      <c r="AA358" s="19"/>
    </row>
    <row r="359" spans="1:27" x14ac:dyDescent="0.25">
      <c r="A359" s="11"/>
      <c r="B359" s="12"/>
      <c r="C359" s="27"/>
      <c r="D359" s="27"/>
      <c r="E359" s="27"/>
      <c r="F359" s="27"/>
      <c r="G359" s="27"/>
      <c r="H359" s="34"/>
      <c r="I359" s="34"/>
      <c r="J359" s="27"/>
      <c r="K359" s="27"/>
      <c r="L359" s="27"/>
      <c r="M359" s="5"/>
      <c r="N359" s="27"/>
      <c r="O359" s="27"/>
      <c r="P359" s="5"/>
      <c r="Q359" s="31"/>
      <c r="R359" s="31"/>
      <c r="S359" s="23"/>
      <c r="T359" s="23"/>
      <c r="U359" s="13"/>
      <c r="V359" s="19"/>
      <c r="W359" s="19"/>
      <c r="X359" s="13"/>
      <c r="Y359" s="13"/>
      <c r="Z359" s="19"/>
      <c r="AA359" s="19"/>
    </row>
    <row r="360" spans="1:27" x14ac:dyDescent="0.25">
      <c r="A360" s="11"/>
      <c r="B360" s="12"/>
      <c r="C360" s="27"/>
      <c r="D360" s="27"/>
      <c r="E360" s="27"/>
      <c r="F360" s="27"/>
      <c r="G360" s="27"/>
      <c r="H360" s="34"/>
      <c r="I360" s="34"/>
      <c r="J360" s="27"/>
      <c r="K360" s="27"/>
      <c r="L360" s="27"/>
      <c r="M360" s="5"/>
      <c r="N360" s="27"/>
      <c r="O360" s="27"/>
      <c r="P360" s="5"/>
      <c r="Q360" s="31"/>
      <c r="R360" s="31"/>
      <c r="S360" s="23"/>
      <c r="T360" s="23"/>
      <c r="U360" s="13"/>
      <c r="V360" s="19"/>
      <c r="W360" s="19"/>
      <c r="X360" s="13"/>
      <c r="Y360" s="13"/>
      <c r="Z360" s="19"/>
      <c r="AA360" s="19"/>
    </row>
    <row r="361" spans="1:27" x14ac:dyDescent="0.25">
      <c r="A361" s="11"/>
      <c r="B361" s="12"/>
      <c r="C361" s="27"/>
      <c r="D361" s="27"/>
      <c r="E361" s="27"/>
      <c r="F361" s="27"/>
      <c r="G361" s="27"/>
      <c r="H361" s="34"/>
      <c r="I361" s="34"/>
      <c r="J361" s="27"/>
      <c r="K361" s="27"/>
      <c r="L361" s="27"/>
      <c r="M361" s="5"/>
      <c r="N361" s="27"/>
      <c r="O361" s="27"/>
      <c r="P361" s="5"/>
      <c r="Q361" s="31"/>
      <c r="R361" s="31"/>
      <c r="S361" s="23"/>
      <c r="T361" s="23"/>
      <c r="U361" s="13"/>
      <c r="V361" s="19"/>
      <c r="W361" s="19"/>
      <c r="X361" s="13"/>
      <c r="Y361" s="13"/>
      <c r="Z361" s="19"/>
      <c r="AA361" s="19"/>
    </row>
    <row r="362" spans="1:27" x14ac:dyDescent="0.25">
      <c r="A362" s="11"/>
      <c r="B362" s="12"/>
      <c r="C362" s="27"/>
      <c r="D362" s="27"/>
      <c r="E362" s="27"/>
      <c r="F362" s="27"/>
      <c r="G362" s="27"/>
      <c r="H362" s="34"/>
      <c r="I362" s="34"/>
      <c r="J362" s="27"/>
      <c r="K362" s="27"/>
      <c r="L362" s="27"/>
      <c r="M362" s="5"/>
      <c r="N362" s="27"/>
      <c r="O362" s="27"/>
      <c r="P362" s="5"/>
      <c r="Q362" s="31"/>
      <c r="R362" s="31"/>
      <c r="S362" s="23"/>
      <c r="T362" s="23"/>
      <c r="U362" s="13"/>
      <c r="V362" s="19"/>
      <c r="W362" s="19"/>
      <c r="X362" s="13"/>
      <c r="Y362" s="13"/>
      <c r="Z362" s="19"/>
      <c r="AA362" s="19"/>
    </row>
    <row r="363" spans="1:27" x14ac:dyDescent="0.25">
      <c r="A363" s="11"/>
      <c r="B363" s="12"/>
      <c r="C363" s="27"/>
      <c r="D363" s="27"/>
      <c r="E363" s="27"/>
      <c r="F363" s="27"/>
      <c r="G363" s="27"/>
      <c r="H363" s="34"/>
      <c r="I363" s="34"/>
      <c r="J363" s="27"/>
      <c r="K363" s="27"/>
      <c r="L363" s="27"/>
      <c r="M363" s="5"/>
      <c r="N363" s="27"/>
      <c r="O363" s="27"/>
      <c r="P363" s="5"/>
      <c r="Q363" s="31"/>
      <c r="R363" s="31"/>
      <c r="S363" s="23"/>
      <c r="T363" s="23"/>
      <c r="U363" s="13"/>
      <c r="V363" s="19"/>
      <c r="W363" s="19"/>
      <c r="X363" s="13"/>
      <c r="Y363" s="13"/>
      <c r="Z363" s="19"/>
      <c r="AA363" s="19"/>
    </row>
    <row r="364" spans="1:27" x14ac:dyDescent="0.25">
      <c r="A364" s="11"/>
      <c r="B364" s="12"/>
      <c r="C364" s="27"/>
      <c r="D364" s="27"/>
      <c r="E364" s="27"/>
      <c r="F364" s="27"/>
      <c r="G364" s="27"/>
      <c r="H364" s="34"/>
      <c r="I364" s="34"/>
      <c r="J364" s="27"/>
      <c r="K364" s="27"/>
      <c r="L364" s="27"/>
      <c r="M364" s="5"/>
      <c r="N364" s="27"/>
      <c r="O364" s="27"/>
      <c r="P364" s="5"/>
      <c r="Q364" s="31"/>
      <c r="R364" s="31"/>
      <c r="S364" s="23"/>
      <c r="T364" s="23"/>
      <c r="U364" s="13"/>
      <c r="V364" s="19"/>
      <c r="W364" s="19"/>
      <c r="X364" s="13"/>
      <c r="Y364" s="13"/>
      <c r="Z364" s="19"/>
      <c r="AA364" s="19"/>
    </row>
    <row r="365" spans="1:27" x14ac:dyDescent="0.25">
      <c r="A365" s="11"/>
      <c r="B365" s="12"/>
      <c r="C365" s="27"/>
      <c r="D365" s="27"/>
      <c r="E365" s="27"/>
      <c r="F365" s="27"/>
      <c r="G365" s="27"/>
      <c r="H365" s="34"/>
      <c r="I365" s="34"/>
      <c r="J365" s="27"/>
      <c r="K365" s="27"/>
      <c r="L365" s="27"/>
      <c r="M365" s="5"/>
      <c r="N365" s="27"/>
      <c r="O365" s="27"/>
      <c r="P365" s="5"/>
      <c r="Q365" s="31"/>
      <c r="R365" s="31"/>
      <c r="S365" s="23"/>
      <c r="T365" s="23"/>
      <c r="U365" s="13"/>
      <c r="V365" s="19"/>
      <c r="W365" s="19"/>
      <c r="X365" s="13"/>
      <c r="Y365" s="13"/>
      <c r="Z365" s="19"/>
      <c r="AA365" s="19"/>
    </row>
    <row r="366" spans="1:27" x14ac:dyDescent="0.25">
      <c r="A366" s="11"/>
      <c r="B366" s="12"/>
      <c r="C366" s="27"/>
      <c r="D366" s="27"/>
      <c r="E366" s="27"/>
      <c r="F366" s="27"/>
      <c r="G366" s="27"/>
      <c r="H366" s="34"/>
      <c r="I366" s="34"/>
      <c r="J366" s="27"/>
      <c r="K366" s="27"/>
      <c r="L366" s="27"/>
      <c r="M366" s="5"/>
      <c r="N366" s="27"/>
      <c r="O366" s="27"/>
      <c r="P366" s="5"/>
      <c r="Q366" s="31"/>
      <c r="R366" s="31"/>
      <c r="S366" s="23"/>
      <c r="T366" s="23"/>
      <c r="U366" s="13"/>
      <c r="V366" s="19"/>
      <c r="W366" s="19"/>
      <c r="X366" s="13"/>
      <c r="Y366" s="13"/>
      <c r="Z366" s="19"/>
      <c r="AA366" s="19"/>
    </row>
    <row r="367" spans="1:27" x14ac:dyDescent="0.25">
      <c r="A367" s="11"/>
      <c r="B367" s="12"/>
      <c r="C367" s="27"/>
      <c r="D367" s="27"/>
      <c r="E367" s="27"/>
      <c r="F367" s="27"/>
      <c r="G367" s="27"/>
      <c r="H367" s="34"/>
      <c r="I367" s="34"/>
      <c r="J367" s="27"/>
      <c r="K367" s="27"/>
      <c r="L367" s="27"/>
      <c r="M367" s="5"/>
      <c r="N367" s="27"/>
      <c r="O367" s="27"/>
      <c r="P367" s="5"/>
      <c r="Q367" s="31"/>
      <c r="R367" s="31"/>
      <c r="S367" s="23"/>
      <c r="T367" s="23"/>
      <c r="U367" s="13"/>
      <c r="V367" s="19"/>
      <c r="W367" s="19"/>
      <c r="X367" s="13"/>
      <c r="Y367" s="13"/>
      <c r="Z367" s="19"/>
      <c r="AA367" s="19"/>
    </row>
    <row r="368" spans="1:27" x14ac:dyDescent="0.25">
      <c r="A368" s="11"/>
      <c r="B368" s="12"/>
      <c r="C368" s="27"/>
      <c r="D368" s="27"/>
      <c r="E368" s="27"/>
      <c r="F368" s="27"/>
      <c r="G368" s="27"/>
      <c r="H368" s="34"/>
      <c r="I368" s="34"/>
      <c r="J368" s="27"/>
      <c r="K368" s="27"/>
      <c r="L368" s="27"/>
      <c r="M368" s="5"/>
      <c r="N368" s="27"/>
      <c r="O368" s="27"/>
      <c r="P368" s="5"/>
      <c r="Q368" s="31"/>
      <c r="R368" s="31"/>
      <c r="S368" s="23"/>
      <c r="T368" s="23"/>
      <c r="U368" s="13"/>
      <c r="V368" s="19"/>
      <c r="W368" s="19"/>
      <c r="X368" s="13"/>
      <c r="Y368" s="13"/>
      <c r="Z368" s="19"/>
      <c r="AA368" s="19"/>
    </row>
    <row r="369" spans="1:27" x14ac:dyDescent="0.25">
      <c r="A369" s="11"/>
      <c r="B369" s="12"/>
      <c r="C369" s="27"/>
      <c r="D369" s="27"/>
      <c r="E369" s="27"/>
      <c r="F369" s="27"/>
      <c r="G369" s="27"/>
      <c r="H369" s="34"/>
      <c r="I369" s="34"/>
      <c r="J369" s="27"/>
      <c r="K369" s="27"/>
      <c r="L369" s="27"/>
      <c r="M369" s="5"/>
      <c r="N369" s="27"/>
      <c r="O369" s="27"/>
      <c r="P369" s="5"/>
      <c r="Q369" s="31"/>
      <c r="R369" s="31"/>
      <c r="S369" s="23"/>
      <c r="T369" s="23"/>
      <c r="U369" s="13"/>
      <c r="V369" s="19"/>
      <c r="W369" s="19"/>
      <c r="X369" s="13"/>
      <c r="Y369" s="13"/>
      <c r="Z369" s="19"/>
      <c r="AA369" s="19"/>
    </row>
    <row r="370" spans="1:27" x14ac:dyDescent="0.25">
      <c r="A370" s="11"/>
      <c r="B370" s="12"/>
      <c r="C370" s="27"/>
      <c r="D370" s="27"/>
      <c r="E370" s="27"/>
      <c r="F370" s="27"/>
      <c r="G370" s="27"/>
      <c r="H370" s="34"/>
      <c r="I370" s="34"/>
      <c r="J370" s="27"/>
      <c r="K370" s="27"/>
      <c r="L370" s="27"/>
      <c r="M370" s="5"/>
      <c r="N370" s="27"/>
      <c r="O370" s="27"/>
      <c r="P370" s="5"/>
      <c r="Q370" s="31"/>
      <c r="R370" s="31"/>
      <c r="S370" s="23"/>
      <c r="T370" s="23"/>
      <c r="U370" s="13"/>
      <c r="V370" s="19"/>
      <c r="W370" s="19"/>
      <c r="X370" s="13"/>
      <c r="Y370" s="13"/>
      <c r="Z370" s="19"/>
      <c r="AA370" s="19"/>
    </row>
    <row r="371" spans="1:27" x14ac:dyDescent="0.25">
      <c r="A371" s="11"/>
      <c r="B371" s="12"/>
      <c r="C371" s="27"/>
      <c r="D371" s="27"/>
      <c r="E371" s="27"/>
      <c r="F371" s="27"/>
      <c r="G371" s="27"/>
      <c r="H371" s="34"/>
      <c r="I371" s="34"/>
      <c r="J371" s="27"/>
      <c r="K371" s="27"/>
      <c r="L371" s="27"/>
      <c r="M371" s="5"/>
      <c r="N371" s="27"/>
      <c r="O371" s="27"/>
      <c r="P371" s="5"/>
      <c r="Q371" s="31"/>
      <c r="R371" s="31"/>
      <c r="S371" s="23"/>
      <c r="T371" s="23"/>
      <c r="U371" s="13"/>
      <c r="V371" s="19"/>
      <c r="W371" s="19"/>
      <c r="X371" s="13"/>
      <c r="Y371" s="13"/>
      <c r="Z371" s="19"/>
      <c r="AA371" s="19"/>
    </row>
    <row r="372" spans="1:27" x14ac:dyDescent="0.25">
      <c r="A372" s="11"/>
      <c r="B372" s="12"/>
      <c r="C372" s="27"/>
      <c r="D372" s="27"/>
      <c r="E372" s="27"/>
      <c r="F372" s="27"/>
      <c r="G372" s="27"/>
      <c r="H372" s="34"/>
      <c r="I372" s="34"/>
      <c r="J372" s="27"/>
      <c r="K372" s="27"/>
      <c r="L372" s="27"/>
      <c r="M372" s="5"/>
      <c r="N372" s="27"/>
      <c r="O372" s="27"/>
      <c r="P372" s="5"/>
      <c r="Q372" s="31"/>
      <c r="R372" s="31"/>
      <c r="S372" s="23"/>
      <c r="T372" s="23"/>
      <c r="U372" s="13"/>
      <c r="V372" s="19"/>
      <c r="W372" s="19"/>
      <c r="X372" s="13"/>
      <c r="Y372" s="13"/>
      <c r="Z372" s="19"/>
      <c r="AA372" s="19"/>
    </row>
    <row r="373" spans="1:27" x14ac:dyDescent="0.25">
      <c r="A373" s="11"/>
      <c r="B373" s="12"/>
      <c r="C373" s="27"/>
      <c r="D373" s="27"/>
      <c r="E373" s="27"/>
      <c r="F373" s="27"/>
      <c r="G373" s="27"/>
      <c r="H373" s="34"/>
      <c r="I373" s="34"/>
      <c r="J373" s="27"/>
      <c r="K373" s="27"/>
      <c r="L373" s="27"/>
      <c r="M373" s="5"/>
      <c r="N373" s="27"/>
      <c r="O373" s="27"/>
      <c r="P373" s="5"/>
      <c r="Q373" s="31"/>
      <c r="R373" s="31"/>
      <c r="S373" s="23"/>
      <c r="T373" s="23"/>
      <c r="U373" s="13"/>
      <c r="V373" s="19"/>
      <c r="W373" s="19"/>
      <c r="X373" s="13"/>
      <c r="Y373" s="13"/>
      <c r="Z373" s="19"/>
      <c r="AA373" s="19"/>
    </row>
    <row r="374" spans="1:27" x14ac:dyDescent="0.25">
      <c r="A374" s="11"/>
      <c r="B374" s="12"/>
      <c r="C374" s="27"/>
      <c r="D374" s="27"/>
      <c r="E374" s="27"/>
      <c r="F374" s="27"/>
      <c r="G374" s="27"/>
      <c r="H374" s="34"/>
      <c r="I374" s="34"/>
      <c r="J374" s="27"/>
      <c r="K374" s="27"/>
      <c r="L374" s="27"/>
      <c r="M374" s="5"/>
      <c r="N374" s="27"/>
      <c r="O374" s="27"/>
      <c r="P374" s="5"/>
      <c r="Q374" s="31"/>
      <c r="R374" s="31"/>
      <c r="S374" s="23"/>
      <c r="T374" s="23"/>
      <c r="U374" s="13"/>
      <c r="V374" s="19"/>
      <c r="W374" s="19"/>
      <c r="X374" s="13"/>
      <c r="Y374" s="13"/>
      <c r="Z374" s="19"/>
      <c r="AA374" s="19"/>
    </row>
    <row r="375" spans="1:27" x14ac:dyDescent="0.25">
      <c r="A375" s="11"/>
      <c r="B375" s="12"/>
      <c r="C375" s="27"/>
      <c r="D375" s="27"/>
      <c r="E375" s="27"/>
      <c r="F375" s="27"/>
      <c r="G375" s="27"/>
      <c r="H375" s="34"/>
      <c r="I375" s="34"/>
      <c r="J375" s="27"/>
      <c r="K375" s="27"/>
      <c r="L375" s="27"/>
      <c r="M375" s="5"/>
      <c r="N375" s="27"/>
      <c r="O375" s="27"/>
      <c r="P375" s="5"/>
      <c r="Q375" s="31"/>
      <c r="R375" s="31"/>
      <c r="S375" s="23"/>
      <c r="T375" s="23"/>
      <c r="U375" s="13"/>
      <c r="V375" s="19"/>
      <c r="W375" s="19"/>
      <c r="X375" s="13"/>
      <c r="Y375" s="13"/>
      <c r="Z375" s="19"/>
      <c r="AA375" s="19"/>
    </row>
    <row r="376" spans="1:27" x14ac:dyDescent="0.25">
      <c r="A376" s="11"/>
      <c r="B376" s="12"/>
      <c r="C376" s="27"/>
      <c r="D376" s="27"/>
      <c r="E376" s="27"/>
      <c r="F376" s="27"/>
      <c r="G376" s="27"/>
      <c r="H376" s="34"/>
      <c r="I376" s="34"/>
      <c r="J376" s="27"/>
      <c r="K376" s="27"/>
      <c r="L376" s="27"/>
      <c r="M376" s="5"/>
      <c r="N376" s="27"/>
      <c r="O376" s="27"/>
      <c r="P376" s="5"/>
      <c r="Q376" s="31"/>
      <c r="R376" s="31"/>
      <c r="S376" s="23"/>
      <c r="T376" s="23"/>
      <c r="U376" s="13"/>
      <c r="V376" s="19"/>
      <c r="W376" s="19"/>
      <c r="X376" s="13"/>
      <c r="Y376" s="13"/>
      <c r="Z376" s="19"/>
      <c r="AA376" s="19"/>
    </row>
    <row r="377" spans="1:27" x14ac:dyDescent="0.25">
      <c r="A377" s="11"/>
      <c r="B377" s="12"/>
      <c r="C377" s="27"/>
      <c r="D377" s="27"/>
      <c r="E377" s="27"/>
      <c r="F377" s="27"/>
      <c r="G377" s="27"/>
      <c r="H377" s="34"/>
      <c r="I377" s="34"/>
      <c r="J377" s="27"/>
      <c r="K377" s="27"/>
      <c r="L377" s="27"/>
      <c r="M377" s="5"/>
      <c r="N377" s="27"/>
      <c r="O377" s="27"/>
      <c r="P377" s="5"/>
      <c r="Q377" s="31"/>
      <c r="R377" s="31"/>
      <c r="S377" s="23"/>
      <c r="T377" s="23"/>
      <c r="U377" s="13"/>
      <c r="V377" s="19"/>
      <c r="W377" s="19"/>
      <c r="X377" s="13"/>
      <c r="Y377" s="13"/>
      <c r="Z377" s="19"/>
      <c r="AA377" s="19"/>
    </row>
    <row r="378" spans="1:27" x14ac:dyDescent="0.25">
      <c r="A378" s="11"/>
      <c r="B378" s="12"/>
      <c r="C378" s="27"/>
      <c r="D378" s="27"/>
      <c r="E378" s="27"/>
      <c r="F378" s="27"/>
      <c r="G378" s="27"/>
      <c r="H378" s="34"/>
      <c r="I378" s="34"/>
      <c r="J378" s="27"/>
      <c r="K378" s="27"/>
      <c r="L378" s="27"/>
      <c r="M378" s="5"/>
      <c r="N378" s="27"/>
      <c r="O378" s="27"/>
      <c r="P378" s="5"/>
      <c r="Q378" s="31"/>
      <c r="R378" s="31"/>
      <c r="S378" s="23"/>
      <c r="T378" s="23"/>
      <c r="U378" s="13"/>
      <c r="V378" s="19"/>
      <c r="W378" s="19"/>
      <c r="X378" s="13"/>
      <c r="Y378" s="13"/>
      <c r="Z378" s="19"/>
      <c r="AA378" s="19"/>
    </row>
    <row r="379" spans="1:27" x14ac:dyDescent="0.25">
      <c r="A379" s="11"/>
      <c r="B379" s="12"/>
      <c r="C379" s="27"/>
      <c r="D379" s="27"/>
      <c r="E379" s="27"/>
      <c r="F379" s="27"/>
      <c r="G379" s="27"/>
      <c r="H379" s="34"/>
      <c r="I379" s="34"/>
      <c r="J379" s="27"/>
      <c r="K379" s="27"/>
      <c r="L379" s="27"/>
      <c r="M379" s="5"/>
      <c r="N379" s="27"/>
      <c r="O379" s="27"/>
      <c r="P379" s="5"/>
      <c r="Q379" s="31"/>
      <c r="R379" s="31"/>
      <c r="S379" s="23"/>
      <c r="T379" s="23"/>
      <c r="U379" s="13"/>
      <c r="V379" s="19"/>
      <c r="W379" s="19"/>
      <c r="X379" s="13"/>
      <c r="Y379" s="13"/>
      <c r="Z379" s="19"/>
      <c r="AA379" s="19"/>
    </row>
    <row r="380" spans="1:27" x14ac:dyDescent="0.25">
      <c r="A380" s="11"/>
      <c r="B380" s="12"/>
      <c r="C380" s="27"/>
      <c r="D380" s="27"/>
      <c r="E380" s="27"/>
      <c r="F380" s="27"/>
      <c r="G380" s="27"/>
      <c r="H380" s="34"/>
      <c r="I380" s="34"/>
      <c r="J380" s="27"/>
      <c r="K380" s="27"/>
      <c r="L380" s="27"/>
      <c r="M380" s="5"/>
      <c r="N380" s="27"/>
      <c r="O380" s="27"/>
      <c r="P380" s="5"/>
      <c r="Q380" s="31"/>
      <c r="R380" s="31"/>
      <c r="S380" s="23"/>
      <c r="T380" s="23"/>
      <c r="U380" s="13"/>
      <c r="V380" s="19"/>
      <c r="W380" s="19"/>
      <c r="X380" s="13"/>
      <c r="Y380" s="13"/>
      <c r="Z380" s="19"/>
      <c r="AA380" s="19"/>
    </row>
    <row r="381" spans="1:27" x14ac:dyDescent="0.25">
      <c r="A381" s="11"/>
      <c r="B381" s="12"/>
      <c r="C381" s="27"/>
      <c r="D381" s="27"/>
      <c r="E381" s="27"/>
      <c r="F381" s="27"/>
      <c r="G381" s="27"/>
      <c r="H381" s="34"/>
      <c r="I381" s="34"/>
      <c r="J381" s="27"/>
      <c r="K381" s="27"/>
      <c r="L381" s="27"/>
      <c r="M381" s="5"/>
      <c r="N381" s="27"/>
      <c r="O381" s="27"/>
      <c r="P381" s="5"/>
      <c r="Q381" s="31"/>
      <c r="R381" s="31"/>
      <c r="S381" s="23"/>
      <c r="T381" s="23"/>
      <c r="U381" s="13"/>
      <c r="V381" s="19"/>
      <c r="W381" s="19"/>
      <c r="X381" s="13"/>
      <c r="Y381" s="13"/>
      <c r="Z381" s="19"/>
      <c r="AA381" s="19"/>
    </row>
    <row r="382" spans="1:27" x14ac:dyDescent="0.25">
      <c r="A382" s="11"/>
      <c r="B382" s="12"/>
      <c r="C382" s="27"/>
      <c r="D382" s="27"/>
      <c r="E382" s="27"/>
      <c r="F382" s="27"/>
      <c r="G382" s="27"/>
      <c r="H382" s="34"/>
      <c r="I382" s="34"/>
      <c r="J382" s="27"/>
      <c r="K382" s="27"/>
      <c r="L382" s="27"/>
      <c r="M382" s="5"/>
      <c r="N382" s="27"/>
      <c r="O382" s="27"/>
      <c r="P382" s="5"/>
      <c r="Q382" s="31"/>
      <c r="R382" s="31"/>
      <c r="S382" s="23"/>
      <c r="T382" s="23"/>
      <c r="U382" s="13"/>
      <c r="V382" s="19"/>
      <c r="W382" s="19"/>
      <c r="X382" s="13"/>
      <c r="Y382" s="13"/>
      <c r="Z382" s="19"/>
      <c r="AA382" s="19"/>
    </row>
    <row r="383" spans="1:27" x14ac:dyDescent="0.25">
      <c r="A383" s="11"/>
      <c r="B383" s="12"/>
      <c r="C383" s="27"/>
      <c r="D383" s="27"/>
      <c r="E383" s="27"/>
      <c r="F383" s="27"/>
      <c r="G383" s="27"/>
      <c r="H383" s="34"/>
      <c r="I383" s="34"/>
      <c r="J383" s="27"/>
      <c r="K383" s="27"/>
      <c r="L383" s="27"/>
      <c r="M383" s="5"/>
      <c r="N383" s="27"/>
      <c r="O383" s="27"/>
      <c r="P383" s="5"/>
      <c r="Q383" s="31"/>
      <c r="R383" s="31"/>
      <c r="S383" s="23"/>
      <c r="T383" s="23"/>
      <c r="U383" s="13"/>
      <c r="V383" s="19"/>
      <c r="W383" s="19"/>
      <c r="X383" s="13"/>
      <c r="Y383" s="13"/>
      <c r="Z383" s="19"/>
      <c r="AA383" s="19"/>
    </row>
    <row r="384" spans="1:27" x14ac:dyDescent="0.25">
      <c r="A384" s="11"/>
      <c r="B384" s="12"/>
      <c r="C384" s="27"/>
      <c r="D384" s="27"/>
      <c r="E384" s="27"/>
      <c r="F384" s="27"/>
      <c r="G384" s="27"/>
      <c r="H384" s="34"/>
      <c r="I384" s="34"/>
      <c r="J384" s="27"/>
      <c r="K384" s="27"/>
      <c r="L384" s="27"/>
      <c r="M384" s="5"/>
      <c r="N384" s="27"/>
      <c r="O384" s="27"/>
      <c r="P384" s="5"/>
      <c r="Q384" s="31"/>
      <c r="R384" s="31"/>
      <c r="S384" s="23"/>
      <c r="T384" s="23"/>
      <c r="U384" s="13"/>
      <c r="V384" s="19"/>
      <c r="W384" s="19"/>
      <c r="X384" s="13"/>
      <c r="Y384" s="13"/>
      <c r="Z384" s="19"/>
      <c r="AA384" s="19"/>
    </row>
    <row r="385" spans="1:27" x14ac:dyDescent="0.25">
      <c r="A385" s="11"/>
      <c r="B385" s="12"/>
      <c r="C385" s="27"/>
      <c r="D385" s="27"/>
      <c r="E385" s="27"/>
      <c r="F385" s="27"/>
      <c r="G385" s="27"/>
      <c r="H385" s="34"/>
      <c r="I385" s="34"/>
      <c r="J385" s="27"/>
      <c r="K385" s="27"/>
      <c r="L385" s="27"/>
      <c r="M385" s="5"/>
      <c r="N385" s="27"/>
      <c r="O385" s="27"/>
      <c r="P385" s="5"/>
      <c r="Q385" s="31"/>
      <c r="R385" s="31"/>
      <c r="S385" s="23"/>
      <c r="T385" s="23"/>
      <c r="U385" s="13"/>
      <c r="V385" s="19"/>
      <c r="W385" s="19"/>
      <c r="X385" s="13"/>
      <c r="Y385" s="13"/>
      <c r="Z385" s="19"/>
      <c r="AA385" s="19"/>
    </row>
    <row r="386" spans="1:27" x14ac:dyDescent="0.25">
      <c r="A386" s="11"/>
      <c r="B386" s="12"/>
      <c r="C386" s="27"/>
      <c r="D386" s="27"/>
      <c r="E386" s="27"/>
      <c r="F386" s="27"/>
      <c r="G386" s="27"/>
      <c r="H386" s="34"/>
      <c r="I386" s="34"/>
      <c r="J386" s="27"/>
      <c r="K386" s="27"/>
      <c r="L386" s="27"/>
      <c r="M386" s="5"/>
      <c r="N386" s="27"/>
      <c r="O386" s="27"/>
      <c r="P386" s="5"/>
      <c r="Q386" s="31"/>
      <c r="R386" s="31"/>
      <c r="S386" s="23"/>
      <c r="T386" s="23"/>
      <c r="U386" s="13"/>
      <c r="V386" s="19"/>
      <c r="W386" s="19"/>
      <c r="X386" s="13"/>
      <c r="Y386" s="13"/>
      <c r="Z386" s="19"/>
      <c r="AA386" s="19"/>
    </row>
    <row r="387" spans="1:27" x14ac:dyDescent="0.25">
      <c r="A387" s="11"/>
      <c r="B387" s="12"/>
      <c r="C387" s="27"/>
      <c r="D387" s="27"/>
      <c r="E387" s="27"/>
      <c r="F387" s="27"/>
      <c r="G387" s="27"/>
      <c r="H387" s="34"/>
      <c r="I387" s="34"/>
      <c r="J387" s="27"/>
      <c r="K387" s="27"/>
      <c r="L387" s="27"/>
      <c r="M387" s="5"/>
      <c r="N387" s="27"/>
      <c r="O387" s="27"/>
      <c r="P387" s="5"/>
      <c r="Q387" s="31"/>
      <c r="R387" s="31"/>
      <c r="S387" s="23"/>
      <c r="T387" s="23"/>
      <c r="U387" s="13"/>
      <c r="V387" s="19"/>
      <c r="W387" s="19"/>
      <c r="X387" s="13"/>
      <c r="Y387" s="13"/>
      <c r="Z387" s="19"/>
      <c r="AA387" s="19"/>
    </row>
    <row r="388" spans="1:27" x14ac:dyDescent="0.25">
      <c r="A388" s="11"/>
      <c r="B388" s="12"/>
      <c r="C388" s="27"/>
      <c r="D388" s="27"/>
      <c r="E388" s="27"/>
      <c r="F388" s="27"/>
      <c r="G388" s="27"/>
      <c r="H388" s="34"/>
      <c r="I388" s="34"/>
      <c r="J388" s="27"/>
      <c r="K388" s="27"/>
      <c r="L388" s="27"/>
      <c r="M388" s="5"/>
      <c r="N388" s="27"/>
      <c r="O388" s="27"/>
      <c r="P388" s="5"/>
      <c r="Q388" s="31"/>
      <c r="R388" s="31"/>
      <c r="S388" s="23"/>
      <c r="T388" s="23"/>
      <c r="U388" s="13"/>
      <c r="V388" s="19"/>
      <c r="W388" s="19"/>
      <c r="X388" s="13"/>
      <c r="Y388" s="13"/>
      <c r="Z388" s="19"/>
      <c r="AA388" s="19"/>
    </row>
    <row r="389" spans="1:27" x14ac:dyDescent="0.25">
      <c r="A389" s="11"/>
      <c r="B389" s="12"/>
      <c r="C389" s="27"/>
      <c r="D389" s="27"/>
      <c r="E389" s="27"/>
      <c r="F389" s="27"/>
      <c r="G389" s="27"/>
      <c r="H389" s="34"/>
      <c r="I389" s="34"/>
      <c r="J389" s="27"/>
      <c r="K389" s="27"/>
      <c r="L389" s="27"/>
      <c r="M389" s="5"/>
      <c r="N389" s="27"/>
      <c r="O389" s="27"/>
      <c r="P389" s="5"/>
      <c r="Q389" s="31"/>
      <c r="R389" s="31"/>
      <c r="S389" s="23"/>
      <c r="T389" s="23"/>
      <c r="U389" s="13"/>
      <c r="V389" s="19"/>
      <c r="W389" s="19"/>
      <c r="X389" s="13"/>
      <c r="Y389" s="13"/>
      <c r="Z389" s="19"/>
      <c r="AA389" s="19"/>
    </row>
    <row r="390" spans="1:27" x14ac:dyDescent="0.25">
      <c r="A390" s="11"/>
      <c r="B390" s="12"/>
      <c r="C390" s="27"/>
      <c r="D390" s="27"/>
      <c r="E390" s="27"/>
      <c r="F390" s="27"/>
      <c r="G390" s="27"/>
      <c r="H390" s="34"/>
      <c r="I390" s="34"/>
      <c r="J390" s="27"/>
      <c r="K390" s="27"/>
      <c r="L390" s="27"/>
      <c r="M390" s="5"/>
      <c r="N390" s="27"/>
      <c r="O390" s="27"/>
      <c r="P390" s="5"/>
      <c r="Q390" s="31"/>
      <c r="R390" s="31"/>
      <c r="S390" s="23"/>
      <c r="T390" s="23"/>
      <c r="U390" s="13"/>
      <c r="V390" s="19"/>
      <c r="W390" s="19"/>
      <c r="X390" s="13"/>
      <c r="Y390" s="13"/>
      <c r="Z390" s="19"/>
      <c r="AA390" s="19"/>
    </row>
    <row r="391" spans="1:27" x14ac:dyDescent="0.25">
      <c r="A391" s="11"/>
      <c r="B391" s="12"/>
      <c r="C391" s="27"/>
      <c r="D391" s="27"/>
      <c r="E391" s="27"/>
      <c r="F391" s="27"/>
      <c r="G391" s="27"/>
      <c r="H391" s="34"/>
      <c r="I391" s="34"/>
      <c r="J391" s="27"/>
      <c r="K391" s="27"/>
      <c r="L391" s="27"/>
      <c r="M391" s="5"/>
      <c r="N391" s="27"/>
      <c r="O391" s="27"/>
      <c r="P391" s="5"/>
      <c r="Q391" s="31"/>
      <c r="R391" s="31"/>
      <c r="S391" s="23"/>
      <c r="T391" s="23"/>
      <c r="U391" s="13"/>
      <c r="V391" s="19"/>
      <c r="W391" s="19"/>
      <c r="X391" s="13"/>
      <c r="Y391" s="13"/>
      <c r="Z391" s="19"/>
      <c r="AA391" s="19"/>
    </row>
    <row r="392" spans="1:27" x14ac:dyDescent="0.25">
      <c r="A392" s="11"/>
      <c r="B392" s="12"/>
      <c r="C392" s="27"/>
      <c r="D392" s="27"/>
      <c r="E392" s="27"/>
      <c r="F392" s="27"/>
      <c r="G392" s="27"/>
      <c r="H392" s="34"/>
      <c r="I392" s="34"/>
      <c r="J392" s="27"/>
      <c r="K392" s="27"/>
      <c r="L392" s="27"/>
      <c r="M392" s="5"/>
      <c r="N392" s="27"/>
      <c r="O392" s="27"/>
      <c r="P392" s="5"/>
      <c r="Q392" s="31"/>
      <c r="R392" s="31"/>
      <c r="S392" s="23"/>
      <c r="T392" s="23"/>
      <c r="U392" s="13"/>
      <c r="V392" s="19"/>
      <c r="W392" s="19"/>
      <c r="X392" s="13"/>
      <c r="Y392" s="13"/>
      <c r="Z392" s="19"/>
      <c r="AA392" s="19"/>
    </row>
    <row r="393" spans="1:27" x14ac:dyDescent="0.25">
      <c r="A393" s="11"/>
      <c r="B393" s="12"/>
      <c r="C393" s="27"/>
      <c r="D393" s="27"/>
      <c r="E393" s="27"/>
      <c r="F393" s="27"/>
      <c r="G393" s="27"/>
      <c r="H393" s="34"/>
      <c r="I393" s="34"/>
      <c r="J393" s="27"/>
      <c r="K393" s="27"/>
      <c r="L393" s="27"/>
      <c r="M393" s="5"/>
      <c r="N393" s="27"/>
      <c r="O393" s="27"/>
      <c r="P393" s="5"/>
      <c r="Q393" s="31"/>
      <c r="R393" s="31"/>
      <c r="S393" s="23"/>
      <c r="T393" s="23"/>
      <c r="U393" s="13"/>
      <c r="V393" s="19"/>
      <c r="W393" s="19"/>
      <c r="X393" s="13"/>
      <c r="Y393" s="13"/>
      <c r="Z393" s="19"/>
      <c r="AA393" s="19"/>
    </row>
    <row r="394" spans="1:27" x14ac:dyDescent="0.25">
      <c r="A394" s="11"/>
      <c r="B394" s="12"/>
      <c r="C394" s="27"/>
      <c r="D394" s="27"/>
      <c r="E394" s="27"/>
      <c r="F394" s="27"/>
      <c r="G394" s="27"/>
      <c r="H394" s="34"/>
      <c r="I394" s="34"/>
      <c r="J394" s="27"/>
      <c r="K394" s="27"/>
      <c r="L394" s="27"/>
      <c r="M394" s="5"/>
      <c r="N394" s="27"/>
      <c r="O394" s="27"/>
      <c r="P394" s="5"/>
      <c r="Q394" s="31"/>
      <c r="R394" s="31"/>
      <c r="S394" s="23"/>
      <c r="T394" s="23"/>
      <c r="U394" s="13"/>
      <c r="V394" s="19"/>
      <c r="W394" s="19"/>
      <c r="X394" s="13"/>
      <c r="Y394" s="13"/>
      <c r="Z394" s="19"/>
      <c r="AA394" s="19"/>
    </row>
    <row r="395" spans="1:27" x14ac:dyDescent="0.25">
      <c r="A395" s="11"/>
      <c r="B395" s="12"/>
      <c r="C395" s="27"/>
      <c r="D395" s="27"/>
      <c r="E395" s="27"/>
      <c r="F395" s="27"/>
      <c r="G395" s="27"/>
      <c r="H395" s="34"/>
      <c r="I395" s="34"/>
      <c r="J395" s="27"/>
      <c r="K395" s="27"/>
      <c r="L395" s="27"/>
      <c r="M395" s="5"/>
      <c r="N395" s="27"/>
      <c r="O395" s="27"/>
      <c r="P395" s="5"/>
      <c r="Q395" s="31"/>
      <c r="R395" s="31"/>
      <c r="S395" s="23"/>
      <c r="T395" s="23"/>
      <c r="U395" s="13"/>
      <c r="V395" s="19"/>
      <c r="W395" s="19"/>
      <c r="X395" s="13"/>
      <c r="Y395" s="13"/>
      <c r="Z395" s="19"/>
      <c r="AA395" s="19"/>
    </row>
    <row r="396" spans="1:27" x14ac:dyDescent="0.25">
      <c r="A396" s="11"/>
      <c r="B396" s="12"/>
      <c r="C396" s="27"/>
      <c r="D396" s="27"/>
      <c r="E396" s="27"/>
      <c r="F396" s="27"/>
      <c r="G396" s="27"/>
      <c r="H396" s="34"/>
      <c r="I396" s="34"/>
      <c r="J396" s="27"/>
      <c r="K396" s="27"/>
      <c r="L396" s="27"/>
      <c r="M396" s="5"/>
      <c r="N396" s="27"/>
      <c r="O396" s="27"/>
      <c r="P396" s="5"/>
      <c r="Q396" s="31"/>
      <c r="R396" s="31"/>
      <c r="S396" s="23"/>
      <c r="T396" s="23"/>
      <c r="U396" s="13"/>
      <c r="V396" s="19"/>
      <c r="W396" s="19"/>
      <c r="X396" s="13"/>
      <c r="Y396" s="13"/>
      <c r="Z396" s="19"/>
      <c r="AA396" s="19"/>
    </row>
    <row r="397" spans="1:27" x14ac:dyDescent="0.25">
      <c r="A397" s="11"/>
      <c r="B397" s="12"/>
      <c r="C397" s="27"/>
      <c r="D397" s="27"/>
      <c r="E397" s="27"/>
      <c r="F397" s="27"/>
      <c r="G397" s="27"/>
      <c r="H397" s="34"/>
      <c r="I397" s="34"/>
      <c r="J397" s="27"/>
      <c r="K397" s="27"/>
      <c r="L397" s="27"/>
      <c r="M397" s="5"/>
      <c r="N397" s="27"/>
      <c r="O397" s="27"/>
      <c r="P397" s="5"/>
      <c r="Q397" s="31"/>
      <c r="R397" s="31"/>
      <c r="S397" s="23"/>
      <c r="T397" s="23"/>
      <c r="U397" s="13"/>
      <c r="V397" s="19"/>
      <c r="W397" s="19"/>
      <c r="X397" s="13"/>
      <c r="Y397" s="13"/>
      <c r="Z397" s="19"/>
      <c r="AA397" s="19"/>
    </row>
    <row r="398" spans="1:27" x14ac:dyDescent="0.25">
      <c r="A398" s="11"/>
      <c r="B398" s="12"/>
      <c r="C398" s="27"/>
      <c r="D398" s="27"/>
      <c r="E398" s="27"/>
      <c r="F398" s="27"/>
      <c r="G398" s="27"/>
      <c r="H398" s="34"/>
      <c r="I398" s="34"/>
      <c r="J398" s="27"/>
      <c r="K398" s="27"/>
      <c r="L398" s="27"/>
      <c r="M398" s="5"/>
      <c r="N398" s="27"/>
      <c r="O398" s="27"/>
      <c r="P398" s="5"/>
      <c r="Q398" s="31"/>
      <c r="R398" s="31"/>
      <c r="S398" s="23"/>
      <c r="T398" s="23"/>
      <c r="U398" s="13"/>
      <c r="V398" s="19"/>
      <c r="W398" s="19"/>
      <c r="X398" s="13"/>
      <c r="Y398" s="13"/>
      <c r="Z398" s="19"/>
      <c r="AA398" s="19"/>
    </row>
    <row r="399" spans="1:27" x14ac:dyDescent="0.25">
      <c r="A399" s="11"/>
      <c r="B399" s="12"/>
      <c r="C399" s="27"/>
      <c r="D399" s="27"/>
      <c r="E399" s="27"/>
      <c r="F399" s="27"/>
      <c r="G399" s="27"/>
      <c r="H399" s="34"/>
      <c r="I399" s="34"/>
      <c r="J399" s="27"/>
      <c r="K399" s="27"/>
      <c r="L399" s="27"/>
      <c r="M399" s="5"/>
      <c r="N399" s="27"/>
      <c r="O399" s="27"/>
      <c r="P399" s="5"/>
      <c r="Q399" s="31"/>
      <c r="R399" s="31"/>
      <c r="S399" s="23"/>
      <c r="T399" s="23"/>
      <c r="U399" s="13"/>
      <c r="V399" s="19"/>
      <c r="W399" s="19"/>
      <c r="X399" s="13"/>
      <c r="Y399" s="13"/>
      <c r="Z399" s="19"/>
      <c r="AA399" s="19"/>
    </row>
    <row r="400" spans="1:27" x14ac:dyDescent="0.25">
      <c r="A400" s="11"/>
      <c r="B400" s="12"/>
      <c r="C400" s="27"/>
      <c r="D400" s="27"/>
      <c r="E400" s="27"/>
      <c r="F400" s="27"/>
      <c r="G400" s="27"/>
      <c r="H400" s="34"/>
      <c r="I400" s="34"/>
      <c r="J400" s="27"/>
      <c r="K400" s="27"/>
      <c r="L400" s="27"/>
      <c r="M400" s="5"/>
      <c r="N400" s="27"/>
      <c r="O400" s="27"/>
      <c r="P400" s="5"/>
      <c r="Q400" s="31"/>
      <c r="R400" s="31"/>
      <c r="S400" s="23"/>
      <c r="T400" s="23"/>
      <c r="U400" s="13"/>
      <c r="V400" s="19"/>
      <c r="W400" s="19"/>
      <c r="X400" s="13"/>
      <c r="Y400" s="13"/>
      <c r="Z400" s="19"/>
      <c r="AA400" s="19"/>
    </row>
    <row r="401" spans="1:27" x14ac:dyDescent="0.25">
      <c r="A401" s="11"/>
      <c r="B401" s="12"/>
      <c r="C401" s="27"/>
      <c r="D401" s="27"/>
      <c r="E401" s="27"/>
      <c r="F401" s="27"/>
      <c r="G401" s="27"/>
      <c r="H401" s="34"/>
      <c r="I401" s="34"/>
      <c r="J401" s="27"/>
      <c r="K401" s="27"/>
      <c r="L401" s="27"/>
      <c r="M401" s="5"/>
      <c r="N401" s="27"/>
      <c r="O401" s="27"/>
      <c r="P401" s="5"/>
      <c r="Q401" s="31"/>
      <c r="R401" s="31"/>
      <c r="S401" s="23"/>
      <c r="T401" s="23"/>
      <c r="U401" s="13"/>
      <c r="V401" s="19"/>
      <c r="W401" s="19"/>
      <c r="X401" s="13"/>
      <c r="Y401" s="13"/>
      <c r="Z401" s="19"/>
      <c r="AA401" s="19"/>
    </row>
    <row r="402" spans="1:27" x14ac:dyDescent="0.25">
      <c r="A402" s="11"/>
      <c r="B402" s="12"/>
      <c r="C402" s="27"/>
      <c r="D402" s="27"/>
      <c r="E402" s="27"/>
      <c r="F402" s="27"/>
      <c r="G402" s="27"/>
      <c r="H402" s="34"/>
      <c r="I402" s="34"/>
      <c r="J402" s="27"/>
      <c r="K402" s="27"/>
      <c r="L402" s="27"/>
      <c r="M402" s="5"/>
      <c r="N402" s="27"/>
      <c r="O402" s="27"/>
      <c r="P402" s="5"/>
      <c r="Q402" s="31"/>
      <c r="R402" s="31"/>
      <c r="S402" s="23"/>
      <c r="T402" s="23"/>
      <c r="U402" s="13"/>
      <c r="V402" s="19"/>
      <c r="W402" s="19"/>
      <c r="X402" s="13"/>
      <c r="Y402" s="13"/>
      <c r="Z402" s="19"/>
      <c r="AA402" s="19"/>
    </row>
    <row r="403" spans="1:27" x14ac:dyDescent="0.25">
      <c r="A403" s="11"/>
      <c r="B403" s="12"/>
      <c r="C403" s="27"/>
      <c r="D403" s="27"/>
      <c r="E403" s="27"/>
      <c r="F403" s="27"/>
      <c r="G403" s="27"/>
      <c r="H403" s="34"/>
      <c r="I403" s="34"/>
      <c r="J403" s="27"/>
      <c r="K403" s="27"/>
      <c r="L403" s="27"/>
      <c r="M403" s="5"/>
      <c r="N403" s="27"/>
      <c r="O403" s="27"/>
      <c r="P403" s="5"/>
      <c r="Q403" s="31"/>
      <c r="R403" s="31"/>
      <c r="S403" s="23"/>
      <c r="T403" s="23"/>
      <c r="U403" s="13"/>
      <c r="V403" s="19"/>
      <c r="W403" s="19"/>
      <c r="X403" s="13"/>
      <c r="Y403" s="13"/>
      <c r="Z403" s="19"/>
      <c r="AA403" s="19"/>
    </row>
    <row r="404" spans="1:27" x14ac:dyDescent="0.25">
      <c r="A404" s="11"/>
      <c r="B404" s="12"/>
      <c r="C404" s="27"/>
      <c r="D404" s="27"/>
      <c r="E404" s="27"/>
      <c r="F404" s="27"/>
      <c r="G404" s="27"/>
      <c r="H404" s="34"/>
      <c r="I404" s="34"/>
      <c r="J404" s="27"/>
      <c r="K404" s="27"/>
      <c r="L404" s="27"/>
      <c r="M404" s="5"/>
      <c r="N404" s="27"/>
      <c r="O404" s="27"/>
      <c r="P404" s="5"/>
      <c r="Q404" s="31"/>
      <c r="R404" s="31"/>
      <c r="S404" s="23"/>
      <c r="T404" s="23"/>
      <c r="U404" s="13"/>
      <c r="V404" s="19"/>
      <c r="W404" s="19"/>
      <c r="X404" s="13"/>
      <c r="Y404" s="13"/>
      <c r="Z404" s="19"/>
      <c r="AA404" s="19"/>
    </row>
    <row r="405" spans="1:27" x14ac:dyDescent="0.25">
      <c r="A405" s="11"/>
      <c r="B405" s="12"/>
      <c r="C405" s="27"/>
      <c r="D405" s="27"/>
      <c r="E405" s="27"/>
      <c r="F405" s="27"/>
      <c r="G405" s="27"/>
      <c r="H405" s="34"/>
      <c r="I405" s="34"/>
      <c r="J405" s="27"/>
      <c r="K405" s="27"/>
      <c r="L405" s="27"/>
      <c r="M405" s="5"/>
      <c r="N405" s="27"/>
      <c r="O405" s="27"/>
      <c r="P405" s="5"/>
      <c r="Q405" s="31"/>
      <c r="R405" s="31"/>
      <c r="S405" s="23"/>
      <c r="T405" s="23"/>
      <c r="U405" s="13"/>
      <c r="V405" s="19"/>
      <c r="W405" s="19"/>
      <c r="X405" s="13"/>
      <c r="Y405" s="13"/>
      <c r="Z405" s="19"/>
      <c r="AA405" s="19"/>
    </row>
    <row r="406" spans="1:27" x14ac:dyDescent="0.25">
      <c r="A406" s="11"/>
      <c r="B406" s="12"/>
      <c r="C406" s="27"/>
      <c r="D406" s="27"/>
      <c r="E406" s="27"/>
      <c r="F406" s="27"/>
      <c r="G406" s="27"/>
      <c r="H406" s="34"/>
      <c r="I406" s="34"/>
      <c r="J406" s="27"/>
      <c r="K406" s="27"/>
      <c r="L406" s="27"/>
      <c r="M406" s="5"/>
      <c r="N406" s="27"/>
      <c r="O406" s="27"/>
      <c r="P406" s="5"/>
      <c r="Q406" s="31"/>
      <c r="R406" s="31"/>
      <c r="S406" s="23"/>
      <c r="T406" s="23"/>
      <c r="U406" s="13"/>
      <c r="V406" s="19"/>
      <c r="W406" s="19"/>
      <c r="X406" s="13"/>
      <c r="Y406" s="13"/>
      <c r="Z406" s="19"/>
      <c r="AA406" s="19"/>
    </row>
    <row r="407" spans="1:27" x14ac:dyDescent="0.25">
      <c r="A407" s="11"/>
      <c r="B407" s="12"/>
      <c r="C407" s="27"/>
      <c r="D407" s="27"/>
      <c r="E407" s="27"/>
      <c r="F407" s="27"/>
      <c r="G407" s="27"/>
      <c r="H407" s="34"/>
      <c r="I407" s="34"/>
      <c r="J407" s="27"/>
      <c r="K407" s="27"/>
      <c r="L407" s="27"/>
      <c r="M407" s="5"/>
      <c r="N407" s="27"/>
      <c r="O407" s="27"/>
      <c r="P407" s="5"/>
      <c r="Q407" s="31"/>
      <c r="R407" s="31"/>
      <c r="S407" s="23"/>
      <c r="T407" s="23"/>
      <c r="U407" s="13"/>
      <c r="V407" s="19"/>
      <c r="W407" s="19"/>
      <c r="X407" s="13"/>
      <c r="Y407" s="13"/>
      <c r="Z407" s="19"/>
      <c r="AA407" s="19"/>
    </row>
    <row r="408" spans="1:27" x14ac:dyDescent="0.25">
      <c r="A408" s="11"/>
      <c r="B408" s="12"/>
      <c r="C408" s="27"/>
      <c r="D408" s="27"/>
      <c r="E408" s="27"/>
      <c r="F408" s="27"/>
      <c r="G408" s="27"/>
      <c r="H408" s="34"/>
      <c r="I408" s="34"/>
      <c r="J408" s="27"/>
      <c r="K408" s="27"/>
      <c r="L408" s="27"/>
      <c r="M408" s="5"/>
      <c r="N408" s="27"/>
      <c r="O408" s="27"/>
      <c r="P408" s="5"/>
      <c r="Q408" s="31"/>
      <c r="R408" s="31"/>
      <c r="S408" s="23"/>
      <c r="T408" s="23"/>
      <c r="U408" s="13"/>
      <c r="V408" s="19"/>
      <c r="W408" s="19"/>
      <c r="X408" s="13"/>
      <c r="Y408" s="13"/>
      <c r="Z408" s="19"/>
      <c r="AA408" s="19"/>
    </row>
    <row r="409" spans="1:27" x14ac:dyDescent="0.25">
      <c r="A409" s="11"/>
      <c r="B409" s="12"/>
      <c r="C409" s="27"/>
      <c r="D409" s="27"/>
      <c r="E409" s="27"/>
      <c r="F409" s="27"/>
      <c r="G409" s="27"/>
      <c r="H409" s="34"/>
      <c r="I409" s="34"/>
      <c r="J409" s="27"/>
      <c r="K409" s="27"/>
      <c r="L409" s="27"/>
      <c r="M409" s="5"/>
      <c r="N409" s="27"/>
      <c r="O409" s="27"/>
      <c r="P409" s="5"/>
      <c r="Q409" s="31"/>
      <c r="R409" s="31"/>
      <c r="S409" s="23"/>
      <c r="T409" s="23"/>
      <c r="U409" s="13"/>
      <c r="V409" s="19"/>
      <c r="W409" s="19"/>
      <c r="X409" s="13"/>
      <c r="Y409" s="13"/>
      <c r="Z409" s="19"/>
      <c r="AA409" s="19"/>
    </row>
    <row r="410" spans="1:27" x14ac:dyDescent="0.25">
      <c r="A410" s="11"/>
      <c r="B410" s="12"/>
      <c r="C410" s="27"/>
      <c r="D410" s="27"/>
      <c r="E410" s="27"/>
      <c r="F410" s="27"/>
      <c r="G410" s="27"/>
      <c r="H410" s="34"/>
      <c r="I410" s="34"/>
      <c r="J410" s="27"/>
      <c r="K410" s="27"/>
      <c r="L410" s="27"/>
      <c r="M410" s="5"/>
      <c r="N410" s="27"/>
      <c r="O410" s="27"/>
      <c r="P410" s="5"/>
      <c r="Q410" s="31"/>
      <c r="R410" s="31"/>
      <c r="S410" s="23"/>
      <c r="T410" s="23"/>
      <c r="U410" s="13"/>
      <c r="V410" s="19"/>
      <c r="W410" s="19"/>
      <c r="X410" s="13"/>
      <c r="Y410" s="13"/>
      <c r="Z410" s="19"/>
      <c r="AA410" s="19"/>
    </row>
    <row r="411" spans="1:27" x14ac:dyDescent="0.25">
      <c r="A411" s="11"/>
      <c r="B411" s="12"/>
      <c r="C411" s="27"/>
      <c r="D411" s="27"/>
      <c r="E411" s="27"/>
      <c r="F411" s="27"/>
      <c r="G411" s="27"/>
      <c r="H411" s="34"/>
      <c r="I411" s="34"/>
      <c r="J411" s="27"/>
      <c r="K411" s="27"/>
      <c r="L411" s="27"/>
      <c r="M411" s="5"/>
      <c r="N411" s="27"/>
      <c r="O411" s="27"/>
      <c r="P411" s="5"/>
      <c r="Q411" s="31"/>
      <c r="R411" s="31"/>
      <c r="S411" s="23"/>
      <c r="T411" s="23"/>
      <c r="U411" s="13"/>
      <c r="V411" s="19"/>
      <c r="W411" s="19"/>
      <c r="X411" s="13"/>
      <c r="Y411" s="13"/>
      <c r="Z411" s="19"/>
      <c r="AA411" s="19"/>
    </row>
    <row r="412" spans="1:27" x14ac:dyDescent="0.25">
      <c r="A412" s="11"/>
      <c r="B412" s="12"/>
      <c r="C412" s="27"/>
      <c r="D412" s="27"/>
      <c r="E412" s="27"/>
      <c r="F412" s="27"/>
      <c r="G412" s="27"/>
      <c r="H412" s="34"/>
      <c r="I412" s="34"/>
      <c r="J412" s="27"/>
      <c r="K412" s="27"/>
      <c r="L412" s="27"/>
      <c r="M412" s="5"/>
      <c r="N412" s="27"/>
      <c r="O412" s="27"/>
      <c r="P412" s="5"/>
      <c r="Q412" s="31"/>
      <c r="R412" s="31"/>
      <c r="S412" s="23"/>
      <c r="T412" s="23"/>
      <c r="U412" s="13"/>
      <c r="V412" s="19"/>
      <c r="W412" s="19"/>
      <c r="X412" s="13"/>
      <c r="Y412" s="13"/>
      <c r="Z412" s="19"/>
      <c r="AA412" s="19"/>
    </row>
    <row r="413" spans="1:27" x14ac:dyDescent="0.25">
      <c r="A413" s="11"/>
      <c r="B413" s="12"/>
      <c r="C413" s="27"/>
      <c r="D413" s="27"/>
      <c r="E413" s="27"/>
      <c r="F413" s="27"/>
      <c r="G413" s="27"/>
      <c r="H413" s="34"/>
      <c r="I413" s="34"/>
      <c r="J413" s="27"/>
      <c r="K413" s="27"/>
      <c r="L413" s="27"/>
      <c r="M413" s="5"/>
      <c r="N413" s="27"/>
      <c r="O413" s="27"/>
      <c r="P413" s="5"/>
      <c r="Q413" s="31"/>
      <c r="R413" s="31"/>
      <c r="S413" s="23"/>
      <c r="T413" s="23"/>
      <c r="U413" s="13"/>
      <c r="V413" s="19"/>
      <c r="W413" s="19"/>
      <c r="X413" s="13"/>
      <c r="Y413" s="13"/>
      <c r="Z413" s="19"/>
      <c r="AA413" s="19"/>
    </row>
    <row r="414" spans="1:27" x14ac:dyDescent="0.25">
      <c r="A414" s="11"/>
      <c r="B414" s="12"/>
      <c r="C414" s="27"/>
      <c r="D414" s="27"/>
      <c r="E414" s="27"/>
      <c r="F414" s="27"/>
      <c r="G414" s="27"/>
      <c r="H414" s="34"/>
      <c r="I414" s="34"/>
      <c r="J414" s="27"/>
      <c r="K414" s="27"/>
      <c r="L414" s="27"/>
      <c r="M414" s="5"/>
      <c r="N414" s="27"/>
      <c r="O414" s="27"/>
      <c r="P414" s="5"/>
      <c r="Q414" s="31"/>
      <c r="R414" s="31"/>
      <c r="S414" s="23"/>
      <c r="T414" s="23"/>
      <c r="U414" s="13"/>
      <c r="V414" s="19"/>
      <c r="W414" s="19"/>
      <c r="X414" s="13"/>
      <c r="Y414" s="13"/>
      <c r="Z414" s="19"/>
      <c r="AA414" s="19"/>
    </row>
    <row r="415" spans="1:27" x14ac:dyDescent="0.25">
      <c r="A415" s="11"/>
      <c r="B415" s="12"/>
      <c r="C415" s="27"/>
      <c r="D415" s="27"/>
      <c r="E415" s="27"/>
      <c r="F415" s="27"/>
      <c r="G415" s="27"/>
      <c r="H415" s="34"/>
      <c r="I415" s="34"/>
      <c r="J415" s="27"/>
      <c r="K415" s="27"/>
      <c r="L415" s="27"/>
      <c r="M415" s="5"/>
      <c r="N415" s="27"/>
      <c r="O415" s="27"/>
      <c r="P415" s="5"/>
      <c r="Q415" s="31"/>
      <c r="R415" s="31"/>
      <c r="S415" s="23"/>
      <c r="T415" s="23"/>
      <c r="U415" s="13"/>
      <c r="V415" s="19"/>
      <c r="W415" s="19"/>
      <c r="X415" s="13"/>
      <c r="Y415" s="13"/>
      <c r="Z415" s="19"/>
      <c r="AA415" s="19"/>
    </row>
    <row r="416" spans="1:27" x14ac:dyDescent="0.25">
      <c r="A416" s="11"/>
      <c r="B416" s="12"/>
      <c r="C416" s="27"/>
      <c r="D416" s="27"/>
      <c r="E416" s="27"/>
      <c r="F416" s="27"/>
      <c r="G416" s="27"/>
      <c r="H416" s="34"/>
      <c r="I416" s="34"/>
      <c r="J416" s="27"/>
      <c r="K416" s="27"/>
      <c r="L416" s="27"/>
      <c r="M416" s="5"/>
      <c r="N416" s="27"/>
      <c r="O416" s="27"/>
      <c r="P416" s="5"/>
      <c r="Q416" s="31"/>
      <c r="R416" s="31"/>
      <c r="S416" s="23"/>
      <c r="T416" s="23"/>
      <c r="U416" s="13"/>
      <c r="V416" s="19"/>
      <c r="W416" s="19"/>
      <c r="X416" s="13"/>
      <c r="Y416" s="13"/>
      <c r="Z416" s="19"/>
      <c r="AA416" s="19"/>
    </row>
    <row r="417" spans="1:27" x14ac:dyDescent="0.25">
      <c r="A417" s="11"/>
      <c r="B417" s="12"/>
      <c r="C417" s="27"/>
      <c r="D417" s="27"/>
      <c r="E417" s="27"/>
      <c r="F417" s="27"/>
      <c r="G417" s="27"/>
      <c r="H417" s="34"/>
      <c r="I417" s="34"/>
      <c r="J417" s="27"/>
      <c r="K417" s="27"/>
      <c r="L417" s="27"/>
      <c r="M417" s="5"/>
      <c r="N417" s="27"/>
      <c r="O417" s="27"/>
      <c r="P417" s="5"/>
      <c r="Q417" s="31"/>
      <c r="R417" s="31"/>
      <c r="S417" s="23"/>
      <c r="T417" s="23"/>
      <c r="U417" s="13"/>
      <c r="V417" s="19"/>
      <c r="W417" s="19"/>
      <c r="X417" s="13"/>
      <c r="Y417" s="13"/>
      <c r="Z417" s="19"/>
      <c r="AA417" s="19"/>
    </row>
    <row r="418" spans="1:27" x14ac:dyDescent="0.25">
      <c r="A418" s="11"/>
      <c r="B418" s="12"/>
      <c r="C418" s="27"/>
      <c r="D418" s="27"/>
      <c r="E418" s="27"/>
      <c r="F418" s="27"/>
      <c r="G418" s="27"/>
      <c r="H418" s="34"/>
      <c r="I418" s="34"/>
      <c r="J418" s="27"/>
      <c r="K418" s="27"/>
      <c r="L418" s="27"/>
      <c r="M418" s="5"/>
      <c r="N418" s="27"/>
      <c r="O418" s="27"/>
      <c r="P418" s="5"/>
      <c r="Q418" s="31"/>
      <c r="R418" s="31"/>
      <c r="S418" s="23"/>
      <c r="T418" s="23"/>
      <c r="U418" s="13"/>
      <c r="V418" s="19"/>
      <c r="W418" s="19"/>
      <c r="X418" s="13"/>
      <c r="Y418" s="13"/>
      <c r="Z418" s="19"/>
      <c r="AA418" s="19"/>
    </row>
    <row r="419" spans="1:27" x14ac:dyDescent="0.25">
      <c r="A419" s="11"/>
      <c r="B419" s="12"/>
      <c r="C419" s="27"/>
      <c r="D419" s="27"/>
      <c r="E419" s="27"/>
      <c r="F419" s="27"/>
      <c r="G419" s="27"/>
      <c r="H419" s="34"/>
      <c r="I419" s="34"/>
      <c r="J419" s="27"/>
      <c r="K419" s="27"/>
      <c r="L419" s="27"/>
      <c r="M419" s="5"/>
      <c r="N419" s="27"/>
      <c r="O419" s="27"/>
      <c r="P419" s="5"/>
      <c r="Q419" s="31"/>
      <c r="R419" s="31"/>
      <c r="S419" s="23"/>
      <c r="T419" s="23"/>
      <c r="U419" s="13"/>
      <c r="V419" s="19"/>
      <c r="W419" s="19"/>
      <c r="X419" s="13"/>
      <c r="Y419" s="13"/>
      <c r="Z419" s="19"/>
      <c r="AA419" s="19"/>
    </row>
    <row r="420" spans="1:27" x14ac:dyDescent="0.25">
      <c r="A420" s="11"/>
      <c r="B420" s="12"/>
      <c r="C420" s="27"/>
      <c r="D420" s="27"/>
      <c r="E420" s="27"/>
      <c r="F420" s="27"/>
      <c r="G420" s="27"/>
      <c r="H420" s="34"/>
      <c r="I420" s="34"/>
      <c r="J420" s="27"/>
      <c r="K420" s="27"/>
      <c r="L420" s="27"/>
      <c r="M420" s="5"/>
      <c r="N420" s="27"/>
      <c r="O420" s="27"/>
      <c r="P420" s="5"/>
      <c r="Q420" s="31"/>
      <c r="R420" s="31"/>
      <c r="S420" s="23"/>
      <c r="T420" s="23"/>
      <c r="U420" s="13"/>
      <c r="V420" s="19"/>
      <c r="W420" s="19"/>
      <c r="X420" s="13"/>
      <c r="Y420" s="13"/>
      <c r="Z420" s="19"/>
      <c r="AA420" s="19"/>
    </row>
    <row r="421" spans="1:27" x14ac:dyDescent="0.25">
      <c r="A421" s="11"/>
      <c r="B421" s="12"/>
      <c r="C421" s="27"/>
      <c r="D421" s="27"/>
      <c r="E421" s="27"/>
      <c r="F421" s="27"/>
      <c r="G421" s="27"/>
      <c r="H421" s="34"/>
      <c r="I421" s="34"/>
      <c r="J421" s="27"/>
      <c r="K421" s="27"/>
      <c r="L421" s="27"/>
      <c r="M421" s="5"/>
      <c r="N421" s="27"/>
      <c r="O421" s="27"/>
      <c r="P421" s="5"/>
      <c r="Q421" s="31"/>
      <c r="R421" s="31"/>
      <c r="S421" s="23"/>
      <c r="T421" s="23"/>
      <c r="U421" s="13"/>
      <c r="V421" s="19"/>
      <c r="W421" s="19"/>
      <c r="X421" s="13"/>
      <c r="Y421" s="13"/>
      <c r="Z421" s="19"/>
      <c r="AA421" s="19"/>
    </row>
    <row r="422" spans="1:27" x14ac:dyDescent="0.25">
      <c r="A422" s="11"/>
      <c r="B422" s="12"/>
      <c r="C422" s="27"/>
      <c r="D422" s="27"/>
      <c r="E422" s="27"/>
      <c r="F422" s="27"/>
      <c r="G422" s="27"/>
      <c r="H422" s="34"/>
      <c r="I422" s="34"/>
      <c r="J422" s="27"/>
      <c r="K422" s="27"/>
      <c r="L422" s="27"/>
      <c r="M422" s="5"/>
      <c r="N422" s="27"/>
      <c r="O422" s="27"/>
      <c r="P422" s="5"/>
      <c r="Q422" s="31"/>
      <c r="R422" s="31"/>
      <c r="S422" s="23"/>
      <c r="T422" s="23"/>
      <c r="U422" s="13"/>
      <c r="V422" s="19"/>
      <c r="W422" s="19"/>
      <c r="X422" s="13"/>
      <c r="Y422" s="13"/>
      <c r="Z422" s="19"/>
      <c r="AA422" s="19"/>
    </row>
    <row r="423" spans="1:27" x14ac:dyDescent="0.25">
      <c r="A423" s="11"/>
      <c r="B423" s="12"/>
      <c r="C423" s="27"/>
      <c r="D423" s="27"/>
      <c r="E423" s="27"/>
      <c r="F423" s="27"/>
      <c r="G423" s="27"/>
      <c r="H423" s="34"/>
      <c r="I423" s="34"/>
      <c r="J423" s="27"/>
      <c r="K423" s="27"/>
      <c r="L423" s="27"/>
      <c r="M423" s="5"/>
      <c r="N423" s="27"/>
      <c r="O423" s="27"/>
      <c r="P423" s="5"/>
      <c r="Q423" s="31"/>
      <c r="R423" s="31"/>
      <c r="S423" s="23"/>
      <c r="T423" s="23"/>
      <c r="U423" s="13"/>
      <c r="V423" s="19"/>
      <c r="W423" s="19"/>
      <c r="X423" s="13"/>
      <c r="Y423" s="13"/>
      <c r="Z423" s="19"/>
      <c r="AA423" s="19"/>
    </row>
    <row r="424" spans="1:27" x14ac:dyDescent="0.25">
      <c r="A424" s="11"/>
      <c r="B424" s="12"/>
      <c r="C424" s="27"/>
      <c r="D424" s="27"/>
      <c r="E424" s="27"/>
      <c r="F424" s="27"/>
      <c r="G424" s="27"/>
      <c r="H424" s="34"/>
      <c r="I424" s="34"/>
      <c r="J424" s="27"/>
      <c r="K424" s="27"/>
      <c r="L424" s="27"/>
      <c r="M424" s="5"/>
      <c r="N424" s="27"/>
      <c r="O424" s="27"/>
      <c r="P424" s="5"/>
      <c r="Q424" s="31"/>
      <c r="R424" s="31"/>
      <c r="S424" s="23"/>
      <c r="T424" s="23"/>
      <c r="U424" s="13"/>
      <c r="V424" s="19"/>
      <c r="W424" s="19"/>
      <c r="X424" s="13"/>
      <c r="Y424" s="13"/>
      <c r="Z424" s="19"/>
      <c r="AA424" s="19"/>
    </row>
    <row r="425" spans="1:27" x14ac:dyDescent="0.25">
      <c r="A425" s="11"/>
      <c r="B425" s="12"/>
      <c r="C425" s="27"/>
      <c r="D425" s="27"/>
      <c r="E425" s="27"/>
      <c r="F425" s="27"/>
      <c r="G425" s="27"/>
      <c r="H425" s="34"/>
      <c r="I425" s="34"/>
      <c r="J425" s="27"/>
      <c r="K425" s="27"/>
      <c r="L425" s="27"/>
      <c r="M425" s="5"/>
      <c r="N425" s="27"/>
      <c r="O425" s="27"/>
      <c r="P425" s="5"/>
      <c r="Q425" s="31"/>
      <c r="R425" s="31"/>
      <c r="S425" s="23"/>
      <c r="T425" s="23"/>
      <c r="U425" s="13"/>
      <c r="V425" s="19"/>
      <c r="W425" s="19"/>
      <c r="X425" s="13"/>
      <c r="Y425" s="13"/>
      <c r="Z425" s="19"/>
      <c r="AA425" s="19"/>
    </row>
    <row r="426" spans="1:27" x14ac:dyDescent="0.25">
      <c r="A426" s="11"/>
      <c r="B426" s="12"/>
      <c r="C426" s="27"/>
      <c r="D426" s="27"/>
      <c r="E426" s="27"/>
      <c r="F426" s="27"/>
      <c r="G426" s="27"/>
      <c r="H426" s="34"/>
      <c r="I426" s="34"/>
      <c r="J426" s="27"/>
      <c r="K426" s="27"/>
      <c r="L426" s="27"/>
      <c r="M426" s="5"/>
      <c r="N426" s="27"/>
      <c r="O426" s="27"/>
      <c r="P426" s="5"/>
      <c r="Q426" s="31"/>
      <c r="R426" s="31"/>
      <c r="S426" s="23"/>
      <c r="T426" s="23"/>
      <c r="U426" s="13"/>
      <c r="V426" s="19"/>
      <c r="W426" s="19"/>
      <c r="X426" s="13"/>
      <c r="Y426" s="13"/>
      <c r="Z426" s="19"/>
      <c r="AA426" s="19"/>
    </row>
    <row r="427" spans="1:27" x14ac:dyDescent="0.25">
      <c r="A427" s="11"/>
      <c r="B427" s="12"/>
      <c r="C427" s="27"/>
      <c r="D427" s="27"/>
      <c r="E427" s="27"/>
      <c r="F427" s="27"/>
      <c r="G427" s="27"/>
      <c r="H427" s="34"/>
      <c r="I427" s="34"/>
      <c r="J427" s="27"/>
      <c r="K427" s="27"/>
      <c r="L427" s="27"/>
      <c r="M427" s="5"/>
      <c r="N427" s="27"/>
      <c r="O427" s="27"/>
      <c r="P427" s="5"/>
      <c r="Q427" s="31"/>
      <c r="R427" s="31"/>
      <c r="S427" s="23"/>
      <c r="T427" s="23"/>
      <c r="U427" s="13"/>
      <c r="V427" s="19"/>
      <c r="W427" s="19"/>
      <c r="X427" s="13"/>
      <c r="Y427" s="13"/>
      <c r="Z427" s="19"/>
      <c r="AA427" s="19"/>
    </row>
    <row r="428" spans="1:27" x14ac:dyDescent="0.25">
      <c r="A428" s="11"/>
      <c r="B428" s="12"/>
      <c r="C428" s="27"/>
      <c r="D428" s="27"/>
      <c r="E428" s="27"/>
      <c r="F428" s="27"/>
      <c r="G428" s="27"/>
      <c r="H428" s="34"/>
      <c r="I428" s="34"/>
      <c r="J428" s="27"/>
      <c r="K428" s="27"/>
      <c r="L428" s="27"/>
      <c r="M428" s="5"/>
      <c r="N428" s="27"/>
      <c r="O428" s="27"/>
      <c r="P428" s="5"/>
      <c r="Q428" s="31"/>
      <c r="R428" s="31"/>
      <c r="S428" s="23"/>
      <c r="T428" s="23"/>
      <c r="U428" s="13"/>
      <c r="V428" s="19"/>
      <c r="W428" s="19"/>
      <c r="X428" s="13"/>
      <c r="Y428" s="13"/>
      <c r="Z428" s="19"/>
      <c r="AA428" s="19"/>
    </row>
    <row r="429" spans="1:27" x14ac:dyDescent="0.25">
      <c r="A429" s="11"/>
      <c r="B429" s="12"/>
      <c r="C429" s="27"/>
      <c r="D429" s="27"/>
      <c r="E429" s="27"/>
      <c r="F429" s="27"/>
      <c r="G429" s="27"/>
      <c r="H429" s="34"/>
      <c r="I429" s="34"/>
      <c r="J429" s="27"/>
      <c r="K429" s="27"/>
      <c r="L429" s="27"/>
      <c r="M429" s="5"/>
      <c r="N429" s="27"/>
      <c r="O429" s="27"/>
      <c r="P429" s="5"/>
      <c r="Q429" s="31"/>
      <c r="R429" s="31"/>
      <c r="S429" s="23"/>
      <c r="T429" s="23"/>
      <c r="U429" s="13"/>
      <c r="V429" s="19"/>
      <c r="W429" s="19"/>
      <c r="X429" s="13"/>
      <c r="Y429" s="13"/>
      <c r="Z429" s="19"/>
      <c r="AA429" s="19"/>
    </row>
    <row r="430" spans="1:27" x14ac:dyDescent="0.25">
      <c r="A430" s="11"/>
      <c r="B430" s="12"/>
      <c r="C430" s="27"/>
      <c r="D430" s="27"/>
      <c r="E430" s="27"/>
      <c r="F430" s="27"/>
      <c r="G430" s="27"/>
      <c r="H430" s="34"/>
      <c r="I430" s="34"/>
      <c r="J430" s="27"/>
      <c r="K430" s="27"/>
      <c r="L430" s="27"/>
      <c r="M430" s="5"/>
      <c r="N430" s="27"/>
      <c r="O430" s="27"/>
      <c r="P430" s="5"/>
      <c r="Q430" s="31"/>
      <c r="R430" s="31"/>
      <c r="S430" s="23"/>
      <c r="T430" s="23"/>
      <c r="U430" s="13"/>
      <c r="V430" s="19"/>
      <c r="W430" s="19"/>
      <c r="X430" s="13"/>
      <c r="Y430" s="13"/>
      <c r="Z430" s="19"/>
      <c r="AA430" s="19"/>
    </row>
    <row r="431" spans="1:27" x14ac:dyDescent="0.25">
      <c r="A431" s="11"/>
      <c r="B431" s="12"/>
      <c r="C431" s="27"/>
      <c r="D431" s="27"/>
      <c r="E431" s="27"/>
      <c r="F431" s="27"/>
      <c r="G431" s="27"/>
      <c r="H431" s="34"/>
      <c r="I431" s="34"/>
      <c r="J431" s="27"/>
      <c r="K431" s="27"/>
      <c r="L431" s="27"/>
      <c r="M431" s="5"/>
      <c r="N431" s="27"/>
      <c r="O431" s="27"/>
      <c r="P431" s="5"/>
      <c r="Q431" s="31"/>
      <c r="R431" s="31"/>
      <c r="S431" s="23"/>
      <c r="T431" s="23"/>
      <c r="U431" s="13"/>
      <c r="V431" s="19"/>
      <c r="W431" s="19"/>
      <c r="X431" s="13"/>
      <c r="Y431" s="13"/>
      <c r="Z431" s="19"/>
      <c r="AA431" s="19"/>
    </row>
    <row r="432" spans="1:27" x14ac:dyDescent="0.25">
      <c r="A432" s="11"/>
      <c r="B432" s="12"/>
      <c r="C432" s="27"/>
      <c r="D432" s="27"/>
      <c r="E432" s="27"/>
      <c r="F432" s="27"/>
      <c r="G432" s="27"/>
      <c r="H432" s="34"/>
      <c r="I432" s="34"/>
      <c r="J432" s="27"/>
      <c r="K432" s="27"/>
      <c r="L432" s="27"/>
      <c r="M432" s="5"/>
      <c r="N432" s="27"/>
      <c r="O432" s="27"/>
      <c r="P432" s="5"/>
      <c r="Q432" s="31"/>
      <c r="R432" s="31"/>
      <c r="S432" s="23"/>
      <c r="T432" s="23"/>
      <c r="U432" s="13"/>
      <c r="V432" s="19"/>
      <c r="W432" s="19"/>
      <c r="X432" s="13"/>
      <c r="Y432" s="13"/>
      <c r="Z432" s="19"/>
      <c r="AA432" s="19"/>
    </row>
    <row r="433" spans="1:27" x14ac:dyDescent="0.25">
      <c r="A433" s="11"/>
      <c r="B433" s="12"/>
      <c r="C433" s="27"/>
      <c r="D433" s="27"/>
      <c r="E433" s="27"/>
      <c r="F433" s="27"/>
      <c r="G433" s="27"/>
      <c r="H433" s="34"/>
      <c r="I433" s="34"/>
      <c r="J433" s="27"/>
      <c r="K433" s="27"/>
      <c r="L433" s="27"/>
      <c r="M433" s="5"/>
      <c r="N433" s="27"/>
      <c r="O433" s="27"/>
      <c r="P433" s="5"/>
      <c r="Q433" s="31"/>
      <c r="R433" s="31"/>
      <c r="S433" s="23"/>
      <c r="T433" s="23"/>
      <c r="U433" s="13"/>
      <c r="V433" s="19"/>
      <c r="W433" s="19"/>
      <c r="X433" s="13"/>
      <c r="Y433" s="13"/>
      <c r="Z433" s="19"/>
      <c r="AA433" s="19"/>
    </row>
    <row r="434" spans="1:27" x14ac:dyDescent="0.25">
      <c r="A434" s="11"/>
      <c r="B434" s="12"/>
      <c r="C434" s="27"/>
      <c r="D434" s="27"/>
      <c r="E434" s="27"/>
      <c r="F434" s="27"/>
      <c r="G434" s="27"/>
      <c r="H434" s="34"/>
      <c r="I434" s="34"/>
      <c r="J434" s="27"/>
      <c r="K434" s="27"/>
      <c r="L434" s="27"/>
      <c r="M434" s="5"/>
      <c r="N434" s="27"/>
      <c r="O434" s="27"/>
      <c r="P434" s="5"/>
      <c r="Q434" s="31"/>
      <c r="R434" s="31"/>
      <c r="S434" s="23"/>
      <c r="T434" s="23"/>
      <c r="U434" s="13"/>
      <c r="V434" s="19"/>
      <c r="W434" s="19"/>
      <c r="X434" s="13"/>
      <c r="Y434" s="13"/>
      <c r="Z434" s="19"/>
      <c r="AA434" s="19"/>
    </row>
    <row r="435" spans="1:27" x14ac:dyDescent="0.25">
      <c r="A435" s="11"/>
      <c r="B435" s="12"/>
      <c r="C435" s="27"/>
      <c r="D435" s="27"/>
      <c r="E435" s="27"/>
      <c r="F435" s="27"/>
      <c r="G435" s="27"/>
      <c r="H435" s="34"/>
      <c r="I435" s="34"/>
      <c r="J435" s="27"/>
      <c r="K435" s="27"/>
      <c r="L435" s="27"/>
      <c r="M435" s="5"/>
      <c r="N435" s="27"/>
      <c r="O435" s="27"/>
      <c r="P435" s="5"/>
      <c r="Q435" s="31"/>
      <c r="R435" s="31"/>
      <c r="S435" s="23"/>
      <c r="T435" s="23"/>
      <c r="U435" s="13"/>
      <c r="V435" s="19"/>
      <c r="W435" s="19"/>
      <c r="X435" s="13"/>
      <c r="Y435" s="13"/>
      <c r="Z435" s="19"/>
      <c r="AA435" s="19"/>
    </row>
    <row r="436" spans="1:27" x14ac:dyDescent="0.25">
      <c r="A436" s="11"/>
      <c r="B436" s="12"/>
      <c r="C436" s="27"/>
      <c r="D436" s="27"/>
      <c r="E436" s="27"/>
      <c r="F436" s="27"/>
      <c r="G436" s="27"/>
      <c r="H436" s="34"/>
      <c r="I436" s="34"/>
      <c r="J436" s="27"/>
      <c r="K436" s="27"/>
      <c r="L436" s="27"/>
      <c r="M436" s="5"/>
      <c r="N436" s="27"/>
      <c r="O436" s="27"/>
      <c r="P436" s="5"/>
      <c r="Q436" s="31"/>
      <c r="R436" s="31"/>
      <c r="S436" s="23"/>
      <c r="T436" s="23"/>
      <c r="U436" s="13"/>
      <c r="V436" s="19"/>
      <c r="W436" s="19"/>
      <c r="X436" s="13"/>
      <c r="Y436" s="13"/>
      <c r="Z436" s="19"/>
      <c r="AA436" s="19"/>
    </row>
    <row r="437" spans="1:27" x14ac:dyDescent="0.25">
      <c r="A437" s="11"/>
      <c r="B437" s="12"/>
      <c r="C437" s="27"/>
      <c r="D437" s="27"/>
      <c r="E437" s="27"/>
      <c r="F437" s="27"/>
      <c r="G437" s="27"/>
      <c r="H437" s="34"/>
      <c r="I437" s="34"/>
      <c r="J437" s="27"/>
      <c r="K437" s="27"/>
      <c r="L437" s="27"/>
      <c r="M437" s="5"/>
      <c r="N437" s="27"/>
      <c r="O437" s="27"/>
      <c r="P437" s="5"/>
      <c r="Q437" s="31"/>
      <c r="R437" s="31"/>
      <c r="S437" s="23"/>
      <c r="T437" s="23"/>
      <c r="U437" s="13"/>
      <c r="V437" s="19"/>
      <c r="W437" s="19"/>
      <c r="X437" s="13"/>
      <c r="Y437" s="13"/>
      <c r="Z437" s="19"/>
      <c r="AA437" s="19"/>
    </row>
    <row r="438" spans="1:27" x14ac:dyDescent="0.25">
      <c r="A438" s="11"/>
      <c r="B438" s="12"/>
      <c r="C438" s="27"/>
      <c r="D438" s="27"/>
      <c r="E438" s="27"/>
      <c r="F438" s="27"/>
      <c r="G438" s="27"/>
      <c r="H438" s="34"/>
      <c r="I438" s="34"/>
      <c r="J438" s="27"/>
      <c r="K438" s="27"/>
      <c r="L438" s="27"/>
      <c r="M438" s="5"/>
      <c r="N438" s="27"/>
      <c r="O438" s="27"/>
      <c r="P438" s="5"/>
      <c r="Q438" s="31"/>
      <c r="R438" s="31"/>
      <c r="S438" s="23"/>
      <c r="T438" s="23"/>
      <c r="U438" s="13"/>
      <c r="V438" s="19"/>
      <c r="W438" s="19"/>
      <c r="X438" s="13"/>
      <c r="Y438" s="13"/>
      <c r="Z438" s="19"/>
      <c r="AA438" s="19"/>
    </row>
    <row r="439" spans="1:27" x14ac:dyDescent="0.25">
      <c r="A439" s="11"/>
      <c r="B439" s="12"/>
      <c r="C439" s="27"/>
      <c r="D439" s="27"/>
      <c r="E439" s="27"/>
      <c r="F439" s="27"/>
      <c r="G439" s="27"/>
      <c r="H439" s="34"/>
      <c r="I439" s="34"/>
      <c r="J439" s="27"/>
      <c r="K439" s="27"/>
      <c r="L439" s="27"/>
      <c r="M439" s="5"/>
      <c r="N439" s="27"/>
      <c r="O439" s="27"/>
      <c r="P439" s="5"/>
      <c r="Q439" s="31"/>
      <c r="R439" s="31"/>
      <c r="S439" s="23"/>
      <c r="T439" s="23"/>
      <c r="U439" s="13"/>
      <c r="V439" s="19"/>
      <c r="W439" s="19"/>
      <c r="X439" s="13"/>
      <c r="Y439" s="13"/>
      <c r="Z439" s="19"/>
      <c r="AA439" s="19"/>
    </row>
    <row r="440" spans="1:27" x14ac:dyDescent="0.25">
      <c r="A440" s="11"/>
      <c r="B440" s="12"/>
      <c r="C440" s="27"/>
      <c r="D440" s="27"/>
      <c r="E440" s="27"/>
      <c r="F440" s="27"/>
      <c r="G440" s="27"/>
      <c r="H440" s="34"/>
      <c r="I440" s="34"/>
      <c r="J440" s="27"/>
      <c r="K440" s="27"/>
      <c r="L440" s="27"/>
      <c r="M440" s="5"/>
      <c r="N440" s="27"/>
      <c r="O440" s="27"/>
      <c r="P440" s="5"/>
      <c r="Q440" s="31"/>
      <c r="R440" s="31"/>
      <c r="S440" s="23"/>
      <c r="T440" s="23"/>
      <c r="U440" s="13"/>
      <c r="V440" s="19"/>
      <c r="W440" s="19"/>
      <c r="X440" s="13"/>
      <c r="Y440" s="13"/>
      <c r="Z440" s="19"/>
      <c r="AA440" s="19"/>
    </row>
    <row r="441" spans="1:27" x14ac:dyDescent="0.25">
      <c r="A441" s="11"/>
      <c r="B441" s="12"/>
      <c r="C441" s="27"/>
      <c r="D441" s="27"/>
      <c r="E441" s="27"/>
      <c r="F441" s="27"/>
      <c r="G441" s="27"/>
      <c r="H441" s="34"/>
      <c r="I441" s="34"/>
      <c r="J441" s="27"/>
      <c r="K441" s="27"/>
      <c r="L441" s="27"/>
      <c r="M441" s="5"/>
      <c r="N441" s="27"/>
      <c r="O441" s="27"/>
      <c r="P441" s="5"/>
      <c r="Q441" s="31"/>
      <c r="R441" s="31"/>
      <c r="S441" s="23"/>
      <c r="T441" s="23"/>
      <c r="U441" s="13"/>
      <c r="V441" s="19"/>
      <c r="W441" s="19"/>
      <c r="X441" s="13"/>
      <c r="Y441" s="13"/>
      <c r="Z441" s="19"/>
      <c r="AA441" s="19"/>
    </row>
    <row r="442" spans="1:27" x14ac:dyDescent="0.25">
      <c r="A442" s="11"/>
      <c r="B442" s="12"/>
      <c r="C442" s="27"/>
      <c r="D442" s="27"/>
      <c r="E442" s="27"/>
      <c r="F442" s="27"/>
      <c r="G442" s="27"/>
      <c r="H442" s="34"/>
      <c r="I442" s="34"/>
      <c r="J442" s="27"/>
      <c r="K442" s="27"/>
      <c r="L442" s="27"/>
      <c r="M442" s="5"/>
      <c r="N442" s="27"/>
      <c r="O442" s="27"/>
      <c r="P442" s="5"/>
      <c r="Q442" s="31"/>
      <c r="R442" s="31"/>
      <c r="S442" s="23"/>
      <c r="T442" s="23"/>
      <c r="U442" s="13"/>
      <c r="V442" s="19"/>
      <c r="W442" s="19"/>
      <c r="X442" s="13"/>
      <c r="Y442" s="13"/>
      <c r="Z442" s="19"/>
      <c r="AA442" s="19"/>
    </row>
    <row r="443" spans="1:27" x14ac:dyDescent="0.25">
      <c r="A443" s="11"/>
      <c r="B443" s="12"/>
      <c r="C443" s="27"/>
      <c r="D443" s="27"/>
      <c r="E443" s="27"/>
      <c r="F443" s="27"/>
      <c r="G443" s="27"/>
      <c r="H443" s="34"/>
      <c r="I443" s="34"/>
      <c r="J443" s="27"/>
      <c r="K443" s="27"/>
      <c r="L443" s="27"/>
      <c r="M443" s="5"/>
      <c r="N443" s="27"/>
      <c r="O443" s="27"/>
      <c r="P443" s="5"/>
      <c r="Q443" s="31"/>
      <c r="R443" s="31"/>
      <c r="S443" s="23"/>
      <c r="T443" s="23"/>
      <c r="U443" s="13"/>
      <c r="V443" s="19"/>
      <c r="W443" s="19"/>
      <c r="X443" s="13"/>
      <c r="Y443" s="13"/>
      <c r="Z443" s="19"/>
      <c r="AA443" s="19"/>
    </row>
    <row r="444" spans="1:27" x14ac:dyDescent="0.25">
      <c r="A444" s="11"/>
      <c r="B444" s="12"/>
      <c r="C444" s="27"/>
      <c r="D444" s="27"/>
      <c r="E444" s="27"/>
      <c r="F444" s="27"/>
      <c r="G444" s="27"/>
      <c r="H444" s="34"/>
      <c r="I444" s="34"/>
      <c r="J444" s="27"/>
      <c r="K444" s="27"/>
      <c r="L444" s="27"/>
      <c r="M444" s="5"/>
      <c r="N444" s="27"/>
      <c r="O444" s="27"/>
      <c r="P444" s="5"/>
      <c r="Q444" s="31"/>
      <c r="R444" s="31"/>
      <c r="S444" s="23"/>
      <c r="T444" s="23"/>
      <c r="U444" s="13"/>
      <c r="V444" s="19"/>
      <c r="W444" s="19"/>
      <c r="X444" s="13"/>
      <c r="Y444" s="13"/>
      <c r="Z444" s="19"/>
      <c r="AA444" s="19"/>
    </row>
    <row r="445" spans="1:27" x14ac:dyDescent="0.25">
      <c r="A445" s="11"/>
      <c r="B445" s="12"/>
      <c r="C445" s="27"/>
      <c r="D445" s="27"/>
      <c r="E445" s="27"/>
      <c r="F445" s="27"/>
      <c r="G445" s="27"/>
      <c r="H445" s="34"/>
      <c r="I445" s="34"/>
      <c r="J445" s="27"/>
      <c r="K445" s="27"/>
      <c r="L445" s="27"/>
      <c r="M445" s="5"/>
      <c r="N445" s="27"/>
      <c r="O445" s="27"/>
      <c r="P445" s="5"/>
      <c r="Q445" s="31"/>
      <c r="R445" s="31"/>
      <c r="S445" s="23"/>
      <c r="T445" s="23"/>
      <c r="U445" s="13"/>
      <c r="V445" s="19"/>
      <c r="W445" s="19"/>
      <c r="X445" s="13"/>
      <c r="Y445" s="13"/>
      <c r="Z445" s="19"/>
      <c r="AA445" s="19"/>
    </row>
    <row r="446" spans="1:27" x14ac:dyDescent="0.25">
      <c r="A446" s="11"/>
      <c r="B446" s="12"/>
      <c r="C446" s="27"/>
      <c r="D446" s="27"/>
      <c r="E446" s="27"/>
      <c r="F446" s="27"/>
      <c r="G446" s="27"/>
      <c r="H446" s="34"/>
      <c r="I446" s="34"/>
      <c r="J446" s="27"/>
      <c r="K446" s="27"/>
      <c r="L446" s="27"/>
      <c r="M446" s="5"/>
      <c r="N446" s="27"/>
      <c r="O446" s="27"/>
      <c r="P446" s="5"/>
      <c r="Q446" s="31"/>
      <c r="R446" s="31"/>
      <c r="S446" s="23"/>
      <c r="T446" s="23"/>
      <c r="U446" s="13"/>
      <c r="V446" s="19"/>
      <c r="W446" s="19"/>
      <c r="X446" s="13"/>
      <c r="Y446" s="13"/>
      <c r="Z446" s="19"/>
      <c r="AA446" s="19"/>
    </row>
    <row r="447" spans="1:27" x14ac:dyDescent="0.25">
      <c r="A447" s="11"/>
      <c r="B447" s="12"/>
      <c r="C447" s="27"/>
      <c r="D447" s="27"/>
      <c r="E447" s="27"/>
      <c r="F447" s="27"/>
      <c r="G447" s="27"/>
      <c r="H447" s="34"/>
      <c r="I447" s="34"/>
      <c r="J447" s="27"/>
      <c r="K447" s="27"/>
      <c r="L447" s="27"/>
      <c r="M447" s="5"/>
      <c r="N447" s="27"/>
      <c r="O447" s="27"/>
      <c r="P447" s="5"/>
      <c r="Q447" s="31"/>
      <c r="R447" s="31"/>
      <c r="S447" s="23"/>
      <c r="T447" s="23"/>
      <c r="U447" s="13"/>
      <c r="V447" s="19"/>
      <c r="W447" s="19"/>
      <c r="X447" s="13"/>
      <c r="Y447" s="13"/>
      <c r="Z447" s="19"/>
      <c r="AA447" s="19"/>
    </row>
    <row r="448" spans="1:27" x14ac:dyDescent="0.25">
      <c r="A448" s="11"/>
      <c r="B448" s="12"/>
      <c r="C448" s="27"/>
      <c r="D448" s="27"/>
      <c r="E448" s="27"/>
      <c r="F448" s="27"/>
      <c r="G448" s="27"/>
      <c r="H448" s="34"/>
      <c r="I448" s="34"/>
      <c r="J448" s="27"/>
      <c r="K448" s="27"/>
      <c r="L448" s="27"/>
      <c r="M448" s="5"/>
      <c r="N448" s="27"/>
      <c r="O448" s="27"/>
      <c r="P448" s="5"/>
      <c r="Q448" s="31"/>
      <c r="R448" s="31"/>
      <c r="S448" s="23"/>
      <c r="T448" s="23"/>
      <c r="U448" s="13"/>
      <c r="V448" s="19"/>
      <c r="W448" s="19"/>
      <c r="X448" s="13"/>
      <c r="Y448" s="13"/>
      <c r="Z448" s="19"/>
      <c r="AA448" s="19"/>
    </row>
    <row r="449" spans="1:27" x14ac:dyDescent="0.25">
      <c r="A449" s="11"/>
      <c r="B449" s="12"/>
      <c r="C449" s="27"/>
      <c r="D449" s="27"/>
      <c r="E449" s="27"/>
      <c r="F449" s="27"/>
      <c r="G449" s="27"/>
      <c r="H449" s="34"/>
      <c r="I449" s="34"/>
      <c r="J449" s="27"/>
      <c r="K449" s="27"/>
      <c r="L449" s="27"/>
      <c r="M449" s="5"/>
      <c r="N449" s="27"/>
      <c r="O449" s="27"/>
      <c r="P449" s="5"/>
      <c r="Q449" s="31"/>
      <c r="R449" s="31"/>
      <c r="S449" s="23"/>
      <c r="T449" s="23"/>
      <c r="U449" s="13"/>
      <c r="V449" s="19"/>
      <c r="W449" s="19"/>
      <c r="X449" s="13"/>
      <c r="Y449" s="13"/>
      <c r="Z449" s="19"/>
      <c r="AA449" s="19"/>
    </row>
    <row r="450" spans="1:27" x14ac:dyDescent="0.25">
      <c r="A450" s="11"/>
      <c r="B450" s="12"/>
      <c r="C450" s="27"/>
      <c r="D450" s="27"/>
      <c r="E450" s="27"/>
      <c r="F450" s="27"/>
      <c r="G450" s="27"/>
      <c r="H450" s="34"/>
      <c r="I450" s="34"/>
      <c r="J450" s="27"/>
      <c r="K450" s="27"/>
      <c r="L450" s="27"/>
      <c r="M450" s="5"/>
      <c r="N450" s="27"/>
      <c r="O450" s="27"/>
      <c r="P450" s="5"/>
      <c r="Q450" s="31"/>
      <c r="R450" s="31"/>
      <c r="S450" s="23"/>
      <c r="T450" s="23"/>
      <c r="U450" s="13"/>
      <c r="V450" s="19"/>
      <c r="W450" s="19"/>
      <c r="X450" s="13"/>
      <c r="Y450" s="13"/>
      <c r="Z450" s="19"/>
      <c r="AA450" s="19"/>
    </row>
    <row r="451" spans="1:27" x14ac:dyDescent="0.25">
      <c r="A451" s="11"/>
      <c r="B451" s="12"/>
      <c r="C451" s="27"/>
      <c r="D451" s="27"/>
      <c r="E451" s="27"/>
      <c r="F451" s="27"/>
      <c r="G451" s="27"/>
      <c r="H451" s="34"/>
      <c r="I451" s="34"/>
      <c r="J451" s="27"/>
      <c r="K451" s="27"/>
      <c r="L451" s="27"/>
      <c r="M451" s="5"/>
      <c r="N451" s="27"/>
      <c r="O451" s="27"/>
      <c r="P451" s="5"/>
      <c r="Q451" s="31"/>
      <c r="R451" s="31"/>
      <c r="S451" s="23"/>
      <c r="T451" s="23"/>
      <c r="U451" s="13"/>
      <c r="V451" s="19"/>
      <c r="W451" s="19"/>
      <c r="X451" s="13"/>
      <c r="Y451" s="13"/>
      <c r="Z451" s="19"/>
      <c r="AA451" s="19"/>
    </row>
    <row r="452" spans="1:27" x14ac:dyDescent="0.25">
      <c r="A452" s="11"/>
      <c r="B452" s="12"/>
      <c r="C452" s="27"/>
      <c r="D452" s="27"/>
      <c r="E452" s="27"/>
      <c r="F452" s="27"/>
      <c r="G452" s="27"/>
      <c r="H452" s="34"/>
      <c r="I452" s="34"/>
      <c r="J452" s="27"/>
      <c r="K452" s="27"/>
      <c r="L452" s="27"/>
      <c r="M452" s="5"/>
      <c r="N452" s="27"/>
      <c r="O452" s="27"/>
      <c r="P452" s="5"/>
      <c r="Q452" s="31"/>
      <c r="R452" s="31"/>
      <c r="S452" s="23"/>
      <c r="T452" s="23"/>
      <c r="U452" s="13"/>
      <c r="V452" s="19"/>
      <c r="W452" s="19"/>
      <c r="X452" s="13"/>
      <c r="Y452" s="13"/>
      <c r="Z452" s="19"/>
      <c r="AA452" s="19"/>
    </row>
    <row r="453" spans="1:27" x14ac:dyDescent="0.25">
      <c r="A453" s="11"/>
      <c r="B453" s="12"/>
      <c r="C453" s="27"/>
      <c r="D453" s="27"/>
      <c r="E453" s="27"/>
      <c r="F453" s="27"/>
      <c r="G453" s="27"/>
      <c r="H453" s="34"/>
      <c r="I453" s="34"/>
      <c r="J453" s="27"/>
      <c r="K453" s="27"/>
      <c r="L453" s="27"/>
      <c r="M453" s="5"/>
      <c r="N453" s="27"/>
      <c r="O453" s="27"/>
      <c r="P453" s="5"/>
      <c r="Q453" s="31"/>
      <c r="R453" s="31"/>
      <c r="S453" s="23"/>
      <c r="T453" s="23"/>
      <c r="U453" s="13"/>
      <c r="V453" s="19"/>
      <c r="W453" s="19"/>
      <c r="X453" s="13"/>
      <c r="Y453" s="13"/>
      <c r="Z453" s="19"/>
      <c r="AA453" s="19"/>
    </row>
    <row r="454" spans="1:27" x14ac:dyDescent="0.25">
      <c r="A454" s="11"/>
      <c r="B454" s="12"/>
      <c r="C454" s="27"/>
      <c r="D454" s="27"/>
      <c r="E454" s="27"/>
      <c r="F454" s="27"/>
      <c r="G454" s="27"/>
      <c r="H454" s="34"/>
      <c r="I454" s="34"/>
      <c r="J454" s="27"/>
      <c r="K454" s="27"/>
      <c r="L454" s="27"/>
      <c r="M454" s="5"/>
      <c r="N454" s="27"/>
      <c r="O454" s="27"/>
      <c r="P454" s="5"/>
      <c r="Q454" s="31"/>
      <c r="R454" s="31"/>
      <c r="S454" s="23"/>
      <c r="T454" s="23"/>
      <c r="U454" s="13"/>
      <c r="V454" s="19"/>
      <c r="W454" s="19"/>
      <c r="X454" s="13"/>
      <c r="Y454" s="13"/>
      <c r="Z454" s="19"/>
      <c r="AA454" s="19"/>
    </row>
    <row r="455" spans="1:27" x14ac:dyDescent="0.25">
      <c r="A455" s="11"/>
      <c r="B455" s="12"/>
      <c r="C455" s="27"/>
      <c r="D455" s="27"/>
      <c r="E455" s="27"/>
      <c r="F455" s="27"/>
      <c r="G455" s="27"/>
      <c r="H455" s="34"/>
      <c r="I455" s="34"/>
      <c r="J455" s="27"/>
      <c r="K455" s="27"/>
      <c r="L455" s="27"/>
      <c r="M455" s="5"/>
      <c r="N455" s="27"/>
      <c r="O455" s="27"/>
      <c r="P455" s="5"/>
      <c r="Q455" s="31"/>
      <c r="R455" s="31"/>
      <c r="S455" s="23"/>
      <c r="T455" s="23"/>
      <c r="U455" s="13"/>
      <c r="V455" s="19"/>
      <c r="W455" s="19"/>
      <c r="X455" s="13"/>
      <c r="Y455" s="13"/>
      <c r="Z455" s="19"/>
      <c r="AA455" s="19"/>
    </row>
    <row r="456" spans="1:27" x14ac:dyDescent="0.25">
      <c r="A456" s="11"/>
      <c r="B456" s="12"/>
      <c r="C456" s="27"/>
      <c r="D456" s="27"/>
      <c r="E456" s="27"/>
      <c r="F456" s="27"/>
      <c r="G456" s="27"/>
      <c r="H456" s="34"/>
      <c r="I456" s="34"/>
      <c r="J456" s="27"/>
      <c r="K456" s="27"/>
      <c r="L456" s="27"/>
      <c r="M456" s="5"/>
      <c r="N456" s="27"/>
      <c r="O456" s="27"/>
      <c r="P456" s="5"/>
      <c r="Q456" s="31"/>
      <c r="R456" s="31"/>
      <c r="S456" s="23"/>
      <c r="T456" s="23"/>
      <c r="U456" s="13"/>
      <c r="V456" s="19"/>
      <c r="W456" s="19"/>
      <c r="X456" s="13"/>
      <c r="Y456" s="13"/>
      <c r="Z456" s="19"/>
      <c r="AA456" s="19"/>
    </row>
    <row r="457" spans="1:27" x14ac:dyDescent="0.25">
      <c r="A457" s="11"/>
      <c r="B457" s="12"/>
      <c r="C457" s="27"/>
      <c r="D457" s="27"/>
      <c r="E457" s="27"/>
      <c r="F457" s="27"/>
      <c r="G457" s="27"/>
      <c r="H457" s="34"/>
      <c r="I457" s="34"/>
      <c r="J457" s="27"/>
      <c r="K457" s="27"/>
      <c r="L457" s="27"/>
      <c r="M457" s="5"/>
      <c r="N457" s="27"/>
      <c r="O457" s="27"/>
      <c r="P457" s="5"/>
      <c r="Q457" s="31"/>
      <c r="R457" s="31"/>
      <c r="S457" s="23"/>
      <c r="T457" s="23"/>
      <c r="U457" s="13"/>
      <c r="V457" s="19"/>
      <c r="W457" s="19"/>
      <c r="X457" s="13"/>
      <c r="Y457" s="13"/>
      <c r="Z457" s="19"/>
      <c r="AA457" s="19"/>
    </row>
    <row r="458" spans="1:27" x14ac:dyDescent="0.25">
      <c r="A458" s="11"/>
      <c r="B458" s="12"/>
      <c r="C458" s="27"/>
      <c r="D458" s="27"/>
      <c r="E458" s="27"/>
      <c r="F458" s="27"/>
      <c r="G458" s="27"/>
      <c r="H458" s="34"/>
      <c r="I458" s="34"/>
      <c r="J458" s="27"/>
      <c r="K458" s="27"/>
      <c r="L458" s="27"/>
      <c r="M458" s="5"/>
      <c r="N458" s="27"/>
      <c r="O458" s="27"/>
      <c r="P458" s="5"/>
      <c r="Q458" s="31"/>
      <c r="R458" s="31"/>
      <c r="S458" s="23"/>
      <c r="T458" s="23"/>
      <c r="U458" s="13"/>
      <c r="V458" s="19"/>
      <c r="W458" s="19"/>
      <c r="X458" s="13"/>
      <c r="Y458" s="13"/>
      <c r="Z458" s="19"/>
      <c r="AA458" s="19"/>
    </row>
    <row r="459" spans="1:27" x14ac:dyDescent="0.25">
      <c r="A459" s="11"/>
      <c r="B459" s="12"/>
      <c r="C459" s="27"/>
      <c r="D459" s="27"/>
      <c r="E459" s="27"/>
      <c r="F459" s="27"/>
      <c r="G459" s="27"/>
      <c r="H459" s="34"/>
      <c r="I459" s="34"/>
      <c r="J459" s="27"/>
      <c r="K459" s="27"/>
      <c r="L459" s="27"/>
      <c r="M459" s="5"/>
      <c r="N459" s="27"/>
      <c r="O459" s="27"/>
      <c r="P459" s="5"/>
      <c r="Q459" s="31"/>
      <c r="R459" s="31"/>
      <c r="S459" s="23"/>
      <c r="T459" s="23"/>
      <c r="U459" s="13"/>
      <c r="V459" s="19"/>
      <c r="W459" s="19"/>
      <c r="X459" s="13"/>
      <c r="Y459" s="13"/>
      <c r="Z459" s="19"/>
      <c r="AA459" s="19"/>
    </row>
    <row r="460" spans="1:27" x14ac:dyDescent="0.25">
      <c r="A460" s="11"/>
      <c r="B460" s="12"/>
      <c r="C460" s="27"/>
      <c r="D460" s="27"/>
      <c r="E460" s="27"/>
      <c r="F460" s="27"/>
      <c r="G460" s="27"/>
      <c r="H460" s="34"/>
      <c r="I460" s="34"/>
      <c r="J460" s="27"/>
      <c r="K460" s="27"/>
      <c r="L460" s="27"/>
      <c r="M460" s="5"/>
      <c r="N460" s="27"/>
      <c r="O460" s="27"/>
      <c r="P460" s="5"/>
      <c r="Q460" s="31"/>
      <c r="R460" s="31"/>
      <c r="S460" s="23"/>
      <c r="T460" s="23"/>
      <c r="U460" s="13"/>
      <c r="V460" s="19"/>
      <c r="W460" s="19"/>
      <c r="X460" s="13"/>
      <c r="Y460" s="13"/>
      <c r="Z460" s="19"/>
      <c r="AA460" s="19"/>
    </row>
    <row r="461" spans="1:27" x14ac:dyDescent="0.25">
      <c r="A461" s="11"/>
      <c r="B461" s="12"/>
      <c r="C461" s="27"/>
      <c r="D461" s="27"/>
      <c r="E461" s="27"/>
      <c r="F461" s="27"/>
      <c r="G461" s="27"/>
      <c r="H461" s="34"/>
      <c r="I461" s="34"/>
      <c r="J461" s="27"/>
      <c r="K461" s="27"/>
      <c r="L461" s="27"/>
      <c r="M461" s="5"/>
      <c r="N461" s="27"/>
      <c r="O461" s="27"/>
      <c r="P461" s="5"/>
      <c r="Q461" s="31"/>
      <c r="R461" s="31"/>
      <c r="S461" s="23"/>
      <c r="T461" s="23"/>
      <c r="U461" s="13"/>
      <c r="V461" s="19"/>
      <c r="W461" s="19"/>
      <c r="X461" s="13"/>
      <c r="Y461" s="13"/>
      <c r="Z461" s="19"/>
      <c r="AA461" s="19"/>
    </row>
    <row r="462" spans="1:27" x14ac:dyDescent="0.25">
      <c r="A462" s="11"/>
      <c r="B462" s="12"/>
      <c r="C462" s="27"/>
      <c r="D462" s="27"/>
      <c r="E462" s="27"/>
      <c r="F462" s="27"/>
      <c r="G462" s="27"/>
      <c r="H462" s="34"/>
      <c r="I462" s="34"/>
      <c r="J462" s="27"/>
      <c r="K462" s="27"/>
      <c r="L462" s="27"/>
      <c r="M462" s="5"/>
      <c r="N462" s="27"/>
      <c r="O462" s="27"/>
      <c r="P462" s="5"/>
      <c r="Q462" s="31"/>
      <c r="R462" s="31"/>
      <c r="S462" s="23"/>
      <c r="T462" s="23"/>
      <c r="U462" s="13"/>
      <c r="V462" s="19"/>
      <c r="W462" s="19"/>
      <c r="X462" s="13"/>
      <c r="Y462" s="13"/>
      <c r="Z462" s="19"/>
      <c r="AA462" s="19"/>
    </row>
    <row r="463" spans="1:27" x14ac:dyDescent="0.25">
      <c r="A463" s="11"/>
      <c r="B463" s="12"/>
      <c r="C463" s="27"/>
      <c r="D463" s="27"/>
      <c r="E463" s="27"/>
      <c r="F463" s="27"/>
      <c r="G463" s="27"/>
      <c r="H463" s="34"/>
      <c r="I463" s="34"/>
      <c r="J463" s="27"/>
      <c r="K463" s="27"/>
      <c r="L463" s="27"/>
      <c r="M463" s="5"/>
      <c r="N463" s="27"/>
      <c r="O463" s="27"/>
      <c r="P463" s="5"/>
      <c r="Q463" s="31"/>
      <c r="R463" s="31"/>
      <c r="S463" s="23"/>
      <c r="T463" s="23"/>
      <c r="U463" s="13"/>
      <c r="V463" s="19"/>
      <c r="W463" s="19"/>
      <c r="X463" s="13"/>
      <c r="Y463" s="13"/>
      <c r="Z463" s="19"/>
      <c r="AA463" s="19"/>
    </row>
    <row r="464" spans="1:27" x14ac:dyDescent="0.25">
      <c r="A464" s="11"/>
      <c r="B464" s="12"/>
      <c r="C464" s="27"/>
      <c r="D464" s="27"/>
      <c r="E464" s="27"/>
      <c r="F464" s="27"/>
      <c r="G464" s="27"/>
      <c r="H464" s="34"/>
      <c r="I464" s="34"/>
      <c r="J464" s="27"/>
      <c r="K464" s="27"/>
      <c r="L464" s="27"/>
      <c r="M464" s="5"/>
      <c r="N464" s="27"/>
      <c r="O464" s="27"/>
      <c r="P464" s="5"/>
      <c r="Q464" s="31"/>
      <c r="R464" s="31"/>
      <c r="S464" s="23"/>
      <c r="T464" s="23"/>
      <c r="U464" s="13"/>
      <c r="V464" s="19"/>
      <c r="W464" s="19"/>
      <c r="X464" s="13"/>
      <c r="Y464" s="13"/>
      <c r="Z464" s="19"/>
      <c r="AA464" s="19"/>
    </row>
    <row r="465" spans="1:27" x14ac:dyDescent="0.25">
      <c r="A465" s="11"/>
      <c r="B465" s="12"/>
      <c r="C465" s="27"/>
      <c r="D465" s="27"/>
      <c r="E465" s="27"/>
      <c r="F465" s="27"/>
      <c r="G465" s="27"/>
      <c r="H465" s="34"/>
      <c r="I465" s="34"/>
      <c r="J465" s="27"/>
      <c r="K465" s="27"/>
      <c r="L465" s="27"/>
      <c r="M465" s="5"/>
      <c r="N465" s="27"/>
      <c r="O465" s="27"/>
      <c r="P465" s="5"/>
      <c r="Q465" s="31"/>
      <c r="R465" s="31"/>
      <c r="S465" s="23"/>
      <c r="T465" s="23"/>
      <c r="U465" s="13"/>
      <c r="V465" s="19"/>
      <c r="W465" s="19"/>
      <c r="X465" s="13"/>
      <c r="Y465" s="13"/>
      <c r="Z465" s="19"/>
      <c r="AA465" s="19"/>
    </row>
    <row r="466" spans="1:27" x14ac:dyDescent="0.25">
      <c r="A466" s="11"/>
      <c r="B466" s="12"/>
      <c r="C466" s="27"/>
      <c r="D466" s="27"/>
      <c r="E466" s="27"/>
      <c r="F466" s="27"/>
      <c r="G466" s="27"/>
      <c r="H466" s="34"/>
      <c r="I466" s="34"/>
      <c r="J466" s="27"/>
      <c r="K466" s="27"/>
      <c r="L466" s="27"/>
      <c r="M466" s="5"/>
      <c r="N466" s="27"/>
      <c r="O466" s="27"/>
      <c r="P466" s="5"/>
      <c r="Q466" s="31"/>
      <c r="R466" s="31"/>
      <c r="S466" s="23"/>
      <c r="T466" s="23"/>
      <c r="U466" s="13"/>
      <c r="V466" s="19"/>
      <c r="W466" s="19"/>
      <c r="X466" s="13"/>
      <c r="Y466" s="13"/>
      <c r="Z466" s="19"/>
      <c r="AA466" s="19"/>
    </row>
    <row r="467" spans="1:27" x14ac:dyDescent="0.25">
      <c r="A467" s="11"/>
      <c r="B467" s="12"/>
      <c r="C467" s="27"/>
      <c r="D467" s="27"/>
      <c r="E467" s="27"/>
      <c r="F467" s="27"/>
      <c r="G467" s="27"/>
      <c r="H467" s="34"/>
      <c r="I467" s="34"/>
      <c r="J467" s="27"/>
      <c r="K467" s="27"/>
      <c r="L467" s="27"/>
      <c r="M467" s="5"/>
      <c r="N467" s="27"/>
      <c r="O467" s="27"/>
      <c r="P467" s="5"/>
      <c r="Q467" s="31"/>
      <c r="R467" s="31"/>
      <c r="S467" s="23"/>
      <c r="T467" s="23"/>
      <c r="U467" s="13"/>
      <c r="V467" s="19"/>
      <c r="W467" s="19"/>
      <c r="X467" s="13"/>
      <c r="Y467" s="13"/>
      <c r="Z467" s="19"/>
      <c r="AA467" s="19"/>
    </row>
    <row r="468" spans="1:27" x14ac:dyDescent="0.25">
      <c r="A468" s="11"/>
      <c r="B468" s="12"/>
      <c r="C468" s="27"/>
      <c r="D468" s="27"/>
      <c r="E468" s="27"/>
      <c r="F468" s="27"/>
      <c r="G468" s="27"/>
      <c r="H468" s="34"/>
      <c r="I468" s="34"/>
      <c r="J468" s="27"/>
      <c r="K468" s="27"/>
      <c r="L468" s="27"/>
      <c r="M468" s="5"/>
      <c r="N468" s="27"/>
      <c r="O468" s="27"/>
      <c r="P468" s="5"/>
      <c r="Q468" s="31"/>
      <c r="R468" s="31"/>
      <c r="S468" s="23"/>
      <c r="T468" s="23"/>
      <c r="U468" s="13"/>
      <c r="V468" s="19"/>
      <c r="W468" s="19"/>
      <c r="X468" s="13"/>
      <c r="Y468" s="13"/>
      <c r="Z468" s="19"/>
      <c r="AA468" s="19"/>
    </row>
    <row r="469" spans="1:27" x14ac:dyDescent="0.25">
      <c r="A469" s="11"/>
      <c r="B469" s="12"/>
      <c r="C469" s="27"/>
      <c r="D469" s="27"/>
      <c r="E469" s="27"/>
      <c r="F469" s="27"/>
      <c r="G469" s="27"/>
      <c r="H469" s="34"/>
      <c r="I469" s="34"/>
      <c r="J469" s="27"/>
      <c r="K469" s="27"/>
      <c r="L469" s="27"/>
      <c r="M469" s="5"/>
      <c r="N469" s="27"/>
      <c r="O469" s="27"/>
      <c r="P469" s="5"/>
      <c r="Q469" s="31"/>
      <c r="R469" s="31"/>
      <c r="S469" s="23"/>
      <c r="T469" s="23"/>
      <c r="U469" s="13"/>
      <c r="V469" s="19"/>
      <c r="W469" s="19"/>
      <c r="X469" s="13"/>
      <c r="Y469" s="13"/>
      <c r="Z469" s="19"/>
      <c r="AA469" s="19"/>
    </row>
    <row r="470" spans="1:27" x14ac:dyDescent="0.25">
      <c r="A470" s="11"/>
      <c r="B470" s="12"/>
      <c r="C470" s="27"/>
      <c r="D470" s="27"/>
      <c r="E470" s="27"/>
      <c r="F470" s="27"/>
      <c r="G470" s="27"/>
      <c r="H470" s="34"/>
      <c r="I470" s="34"/>
      <c r="J470" s="27"/>
      <c r="K470" s="27"/>
      <c r="L470" s="27"/>
      <c r="M470" s="5"/>
      <c r="N470" s="27"/>
      <c r="O470" s="27"/>
      <c r="P470" s="5"/>
      <c r="Q470" s="31"/>
      <c r="R470" s="31"/>
      <c r="S470" s="23"/>
      <c r="T470" s="23"/>
      <c r="U470" s="13"/>
      <c r="V470" s="19"/>
      <c r="W470" s="19"/>
      <c r="X470" s="13"/>
      <c r="Y470" s="13"/>
      <c r="Z470" s="19"/>
      <c r="AA470" s="19"/>
    </row>
    <row r="471" spans="1:27" x14ac:dyDescent="0.25">
      <c r="A471" s="11"/>
      <c r="B471" s="12"/>
      <c r="C471" s="27"/>
      <c r="D471" s="27"/>
      <c r="E471" s="27"/>
      <c r="F471" s="27"/>
      <c r="G471" s="27"/>
      <c r="H471" s="34"/>
      <c r="I471" s="34"/>
      <c r="J471" s="27"/>
      <c r="K471" s="27"/>
      <c r="L471" s="27"/>
      <c r="M471" s="5"/>
      <c r="N471" s="27"/>
      <c r="O471" s="27"/>
      <c r="P471" s="5"/>
      <c r="Q471" s="31"/>
      <c r="R471" s="31"/>
      <c r="S471" s="23"/>
      <c r="T471" s="23"/>
      <c r="U471" s="13"/>
      <c r="V471" s="19"/>
      <c r="W471" s="19"/>
      <c r="X471" s="13"/>
      <c r="Y471" s="13"/>
      <c r="Z471" s="19"/>
      <c r="AA471" s="19"/>
    </row>
    <row r="472" spans="1:27" x14ac:dyDescent="0.25">
      <c r="A472" s="11"/>
      <c r="B472" s="12"/>
      <c r="C472" s="27"/>
      <c r="D472" s="27"/>
      <c r="E472" s="27"/>
      <c r="F472" s="27"/>
      <c r="G472" s="27"/>
      <c r="H472" s="34"/>
      <c r="I472" s="34"/>
      <c r="J472" s="27"/>
      <c r="K472" s="27"/>
      <c r="L472" s="27"/>
      <c r="M472" s="5"/>
      <c r="N472" s="27"/>
      <c r="O472" s="27"/>
      <c r="P472" s="5"/>
      <c r="Q472" s="31"/>
      <c r="R472" s="31"/>
      <c r="S472" s="23"/>
      <c r="T472" s="23"/>
      <c r="U472" s="13"/>
      <c r="V472" s="19"/>
      <c r="W472" s="19"/>
      <c r="X472" s="13"/>
      <c r="Y472" s="13"/>
      <c r="Z472" s="19"/>
      <c r="AA472" s="19"/>
    </row>
    <row r="473" spans="1:27" x14ac:dyDescent="0.25">
      <c r="A473" s="11"/>
      <c r="B473" s="12"/>
      <c r="C473" s="27"/>
      <c r="D473" s="27"/>
      <c r="E473" s="27"/>
      <c r="F473" s="27"/>
      <c r="G473" s="27"/>
      <c r="H473" s="34"/>
      <c r="I473" s="34"/>
      <c r="J473" s="27"/>
      <c r="K473" s="27"/>
      <c r="L473" s="27"/>
      <c r="M473" s="5"/>
      <c r="N473" s="27"/>
      <c r="O473" s="27"/>
      <c r="P473" s="5"/>
      <c r="Q473" s="31"/>
      <c r="R473" s="31"/>
      <c r="S473" s="23"/>
      <c r="T473" s="23"/>
      <c r="U473" s="13"/>
      <c r="V473" s="19"/>
      <c r="W473" s="19"/>
      <c r="X473" s="13"/>
      <c r="Y473" s="13"/>
      <c r="Z473" s="19"/>
      <c r="AA473" s="19"/>
    </row>
    <row r="474" spans="1:27" x14ac:dyDescent="0.25">
      <c r="A474" s="11"/>
      <c r="B474" s="12"/>
      <c r="C474" s="27"/>
      <c r="D474" s="27"/>
      <c r="E474" s="27"/>
      <c r="F474" s="27"/>
      <c r="G474" s="27"/>
      <c r="H474" s="34"/>
      <c r="I474" s="34"/>
      <c r="J474" s="27"/>
      <c r="K474" s="27"/>
      <c r="L474" s="27"/>
      <c r="M474" s="5"/>
      <c r="N474" s="27"/>
      <c r="O474" s="27"/>
      <c r="P474" s="5"/>
      <c r="Q474" s="31"/>
      <c r="R474" s="31"/>
      <c r="S474" s="23"/>
      <c r="T474" s="23"/>
      <c r="U474" s="13"/>
      <c r="V474" s="19"/>
      <c r="W474" s="19"/>
      <c r="X474" s="13"/>
      <c r="Y474" s="13"/>
      <c r="Z474" s="19"/>
      <c r="AA474" s="19"/>
    </row>
    <row r="475" spans="1:27" x14ac:dyDescent="0.25">
      <c r="A475" s="11"/>
      <c r="B475" s="12"/>
      <c r="C475" s="27"/>
      <c r="D475" s="27"/>
      <c r="E475" s="27"/>
      <c r="F475" s="27"/>
      <c r="G475" s="27"/>
      <c r="H475" s="34"/>
      <c r="I475" s="34"/>
      <c r="J475" s="27"/>
      <c r="K475" s="27"/>
      <c r="L475" s="27"/>
      <c r="M475" s="5"/>
      <c r="N475" s="27"/>
      <c r="O475" s="27"/>
      <c r="P475" s="5"/>
      <c r="Q475" s="31"/>
      <c r="R475" s="31"/>
      <c r="S475" s="23"/>
      <c r="T475" s="23"/>
      <c r="U475" s="13"/>
      <c r="V475" s="19"/>
      <c r="W475" s="19"/>
      <c r="X475" s="13"/>
      <c r="Y475" s="13"/>
      <c r="Z475" s="19"/>
      <c r="AA475" s="19"/>
    </row>
    <row r="476" spans="1:27" x14ac:dyDescent="0.25">
      <c r="A476" s="11"/>
      <c r="B476" s="12"/>
      <c r="C476" s="27"/>
      <c r="D476" s="27"/>
      <c r="E476" s="27"/>
      <c r="F476" s="27"/>
      <c r="G476" s="27"/>
      <c r="H476" s="34"/>
      <c r="I476" s="34"/>
      <c r="J476" s="27"/>
      <c r="K476" s="27"/>
      <c r="L476" s="27"/>
      <c r="M476" s="5"/>
      <c r="N476" s="27"/>
      <c r="O476" s="27"/>
      <c r="P476" s="5"/>
      <c r="Q476" s="31"/>
      <c r="R476" s="31"/>
      <c r="S476" s="23"/>
      <c r="T476" s="23"/>
      <c r="U476" s="13"/>
      <c r="V476" s="19"/>
      <c r="W476" s="19"/>
      <c r="X476" s="13"/>
      <c r="Y476" s="13"/>
      <c r="Z476" s="19"/>
      <c r="AA476" s="19"/>
    </row>
    <row r="477" spans="1:27" x14ac:dyDescent="0.25">
      <c r="A477" s="11"/>
      <c r="B477" s="12"/>
      <c r="C477" s="27"/>
      <c r="D477" s="27"/>
      <c r="E477" s="27"/>
      <c r="F477" s="27"/>
      <c r="G477" s="27"/>
      <c r="H477" s="34"/>
      <c r="I477" s="34"/>
      <c r="J477" s="27"/>
      <c r="K477" s="27"/>
      <c r="L477" s="27"/>
      <c r="M477" s="5"/>
      <c r="N477" s="27"/>
      <c r="O477" s="27"/>
      <c r="P477" s="5"/>
      <c r="Q477" s="31"/>
      <c r="R477" s="31"/>
      <c r="S477" s="23"/>
      <c r="T477" s="23"/>
      <c r="U477" s="13"/>
      <c r="V477" s="19"/>
      <c r="W477" s="19"/>
      <c r="X477" s="13"/>
      <c r="Y477" s="13"/>
      <c r="Z477" s="19"/>
      <c r="AA477" s="19"/>
    </row>
    <row r="478" spans="1:27" x14ac:dyDescent="0.25">
      <c r="A478" s="11"/>
      <c r="B478" s="12"/>
      <c r="C478" s="27"/>
      <c r="D478" s="27"/>
      <c r="E478" s="27"/>
      <c r="F478" s="27"/>
      <c r="G478" s="27"/>
      <c r="H478" s="34"/>
      <c r="I478" s="34"/>
      <c r="J478" s="27"/>
      <c r="K478" s="27"/>
      <c r="L478" s="27"/>
      <c r="M478" s="5"/>
      <c r="N478" s="27"/>
      <c r="O478" s="27"/>
      <c r="P478" s="5"/>
      <c r="Q478" s="31"/>
      <c r="R478" s="31"/>
      <c r="S478" s="23"/>
      <c r="T478" s="23"/>
      <c r="U478" s="13"/>
      <c r="V478" s="19"/>
      <c r="W478" s="19"/>
      <c r="X478" s="13"/>
      <c r="Y478" s="13"/>
      <c r="Z478" s="19"/>
      <c r="AA478" s="19"/>
    </row>
    <row r="479" spans="1:27" x14ac:dyDescent="0.25">
      <c r="A479" s="11"/>
      <c r="B479" s="12"/>
      <c r="C479" s="27"/>
      <c r="D479" s="27"/>
      <c r="E479" s="27"/>
      <c r="F479" s="27"/>
      <c r="G479" s="27"/>
      <c r="H479" s="34"/>
      <c r="I479" s="34"/>
      <c r="J479" s="27"/>
      <c r="K479" s="27"/>
      <c r="L479" s="27"/>
      <c r="M479" s="5"/>
      <c r="N479" s="27"/>
      <c r="O479" s="27"/>
      <c r="P479" s="5"/>
      <c r="Q479" s="31"/>
      <c r="R479" s="31"/>
      <c r="S479" s="23"/>
      <c r="T479" s="23"/>
      <c r="U479" s="13"/>
      <c r="V479" s="19"/>
      <c r="W479" s="19"/>
      <c r="X479" s="13"/>
      <c r="Y479" s="13"/>
      <c r="Z479" s="19"/>
      <c r="AA479" s="19"/>
    </row>
    <row r="480" spans="1:27" x14ac:dyDescent="0.25">
      <c r="A480" s="11"/>
      <c r="B480" s="12"/>
      <c r="C480" s="27"/>
      <c r="D480" s="27"/>
      <c r="E480" s="27"/>
      <c r="F480" s="27"/>
      <c r="G480" s="27"/>
      <c r="H480" s="34"/>
      <c r="I480" s="34"/>
      <c r="J480" s="27"/>
      <c r="K480" s="27"/>
      <c r="L480" s="27"/>
      <c r="M480" s="5"/>
      <c r="N480" s="27"/>
      <c r="O480" s="27"/>
      <c r="P480" s="5"/>
      <c r="Q480" s="31"/>
      <c r="R480" s="31"/>
      <c r="S480" s="23"/>
      <c r="T480" s="23"/>
      <c r="U480" s="13"/>
      <c r="V480" s="19"/>
      <c r="W480" s="19"/>
      <c r="X480" s="13"/>
      <c r="Y480" s="13"/>
      <c r="Z480" s="19"/>
      <c r="AA480" s="19"/>
    </row>
    <row r="481" spans="1:27" x14ac:dyDescent="0.25">
      <c r="A481" s="11"/>
      <c r="B481" s="12"/>
      <c r="C481" s="27"/>
      <c r="D481" s="27"/>
      <c r="E481" s="27"/>
      <c r="F481" s="27"/>
      <c r="G481" s="27"/>
      <c r="H481" s="34"/>
      <c r="I481" s="34"/>
      <c r="J481" s="27"/>
      <c r="K481" s="27"/>
      <c r="L481" s="27"/>
      <c r="M481" s="5"/>
      <c r="N481" s="27"/>
      <c r="O481" s="27"/>
      <c r="P481" s="5"/>
      <c r="Q481" s="31"/>
      <c r="R481" s="31"/>
      <c r="S481" s="23"/>
      <c r="T481" s="23"/>
      <c r="U481" s="13"/>
      <c r="V481" s="19"/>
      <c r="W481" s="19"/>
      <c r="X481" s="13"/>
      <c r="Y481" s="13"/>
      <c r="Z481" s="19"/>
      <c r="AA481" s="19"/>
    </row>
    <row r="482" spans="1:27" x14ac:dyDescent="0.25">
      <c r="A482" s="11"/>
      <c r="B482" s="12"/>
      <c r="C482" s="27"/>
      <c r="D482" s="27"/>
      <c r="E482" s="27"/>
      <c r="F482" s="27"/>
      <c r="G482" s="27"/>
      <c r="H482" s="34"/>
      <c r="I482" s="34"/>
      <c r="J482" s="27"/>
      <c r="K482" s="27"/>
      <c r="L482" s="27"/>
      <c r="M482" s="5"/>
      <c r="N482" s="27"/>
      <c r="O482" s="27"/>
      <c r="P482" s="5"/>
      <c r="Q482" s="31"/>
      <c r="R482" s="31"/>
      <c r="S482" s="23"/>
      <c r="T482" s="23"/>
      <c r="U482" s="13"/>
      <c r="V482" s="19"/>
      <c r="W482" s="19"/>
      <c r="X482" s="13"/>
      <c r="Y482" s="13"/>
      <c r="Z482" s="19"/>
      <c r="AA482" s="19"/>
    </row>
    <row r="483" spans="1:27" x14ac:dyDescent="0.25">
      <c r="A483" s="11"/>
      <c r="B483" s="12"/>
      <c r="C483" s="27"/>
      <c r="D483" s="27"/>
      <c r="E483" s="27"/>
      <c r="F483" s="27"/>
      <c r="G483" s="27"/>
      <c r="H483" s="34"/>
      <c r="I483" s="34"/>
      <c r="J483" s="27"/>
      <c r="K483" s="27"/>
      <c r="L483" s="27"/>
      <c r="M483" s="5"/>
      <c r="N483" s="27"/>
      <c r="O483" s="27"/>
      <c r="P483" s="5"/>
      <c r="Q483" s="31"/>
      <c r="R483" s="31"/>
      <c r="S483" s="23"/>
      <c r="T483" s="23"/>
      <c r="U483" s="13"/>
      <c r="V483" s="19"/>
      <c r="W483" s="19"/>
      <c r="X483" s="13"/>
      <c r="Y483" s="13"/>
      <c r="Z483" s="19"/>
      <c r="AA483" s="19"/>
    </row>
    <row r="484" spans="1:27" x14ac:dyDescent="0.25">
      <c r="A484" s="11"/>
      <c r="B484" s="12"/>
      <c r="C484" s="27"/>
      <c r="D484" s="27"/>
      <c r="E484" s="27"/>
      <c r="F484" s="27"/>
      <c r="G484" s="27"/>
      <c r="H484" s="34"/>
      <c r="I484" s="34"/>
      <c r="J484" s="27"/>
      <c r="K484" s="27"/>
      <c r="L484" s="27"/>
      <c r="M484" s="5"/>
      <c r="N484" s="27"/>
      <c r="O484" s="27"/>
      <c r="P484" s="5"/>
      <c r="Q484" s="31"/>
      <c r="R484" s="31"/>
      <c r="S484" s="23"/>
      <c r="T484" s="23"/>
      <c r="U484" s="13"/>
      <c r="V484" s="19"/>
      <c r="W484" s="19"/>
      <c r="X484" s="13"/>
      <c r="Y484" s="13"/>
      <c r="Z484" s="19"/>
      <c r="AA484" s="19"/>
    </row>
    <row r="485" spans="1:27" x14ac:dyDescent="0.25">
      <c r="A485" s="11"/>
      <c r="B485" s="12"/>
      <c r="C485" s="27"/>
      <c r="D485" s="27"/>
      <c r="E485" s="27"/>
      <c r="F485" s="27"/>
      <c r="G485" s="27"/>
      <c r="H485" s="34"/>
      <c r="I485" s="34"/>
      <c r="J485" s="27"/>
      <c r="K485" s="27"/>
      <c r="L485" s="27"/>
      <c r="M485" s="5"/>
      <c r="N485" s="27"/>
      <c r="O485" s="27"/>
      <c r="P485" s="5"/>
      <c r="Q485" s="31"/>
      <c r="R485" s="31"/>
      <c r="S485" s="23"/>
      <c r="T485" s="23"/>
      <c r="U485" s="13"/>
      <c r="V485" s="19"/>
      <c r="W485" s="19"/>
      <c r="X485" s="13"/>
      <c r="Y485" s="13"/>
      <c r="Z485" s="19"/>
      <c r="AA485" s="19"/>
    </row>
    <row r="486" spans="1:27" x14ac:dyDescent="0.25">
      <c r="A486" s="11"/>
      <c r="B486" s="12"/>
      <c r="C486" s="27"/>
      <c r="D486" s="27"/>
      <c r="E486" s="27"/>
      <c r="F486" s="27"/>
      <c r="G486" s="27"/>
      <c r="H486" s="34"/>
      <c r="I486" s="34"/>
      <c r="J486" s="27"/>
      <c r="K486" s="27"/>
      <c r="L486" s="27"/>
      <c r="M486" s="5"/>
      <c r="N486" s="27"/>
      <c r="O486" s="27"/>
      <c r="P486" s="5"/>
      <c r="Q486" s="31"/>
      <c r="R486" s="31"/>
      <c r="S486" s="23"/>
      <c r="T486" s="23"/>
      <c r="U486" s="13"/>
      <c r="V486" s="19"/>
      <c r="W486" s="19"/>
      <c r="X486" s="13"/>
      <c r="Y486" s="13"/>
      <c r="Z486" s="19"/>
      <c r="AA486" s="19"/>
    </row>
    <row r="487" spans="1:27" x14ac:dyDescent="0.25">
      <c r="A487" s="11"/>
      <c r="B487" s="12"/>
      <c r="C487" s="27"/>
      <c r="D487" s="27"/>
      <c r="E487" s="27"/>
      <c r="F487" s="27"/>
      <c r="G487" s="27"/>
      <c r="H487" s="34"/>
      <c r="I487" s="34"/>
      <c r="J487" s="27"/>
      <c r="K487" s="27"/>
      <c r="L487" s="27"/>
      <c r="M487" s="5"/>
      <c r="N487" s="27"/>
      <c r="O487" s="27"/>
      <c r="P487" s="5"/>
      <c r="Q487" s="31"/>
      <c r="R487" s="31"/>
      <c r="S487" s="23"/>
      <c r="T487" s="23"/>
      <c r="U487" s="13"/>
      <c r="V487" s="19"/>
      <c r="W487" s="19"/>
      <c r="X487" s="13"/>
      <c r="Y487" s="13"/>
      <c r="Z487" s="19"/>
      <c r="AA487" s="19"/>
    </row>
    <row r="488" spans="1:27" x14ac:dyDescent="0.25">
      <c r="A488" s="11"/>
      <c r="B488" s="12"/>
      <c r="C488" s="27"/>
      <c r="D488" s="27"/>
      <c r="E488" s="27"/>
      <c r="F488" s="27"/>
      <c r="G488" s="27"/>
      <c r="H488" s="34"/>
      <c r="I488" s="34"/>
      <c r="J488" s="27"/>
      <c r="K488" s="27"/>
      <c r="L488" s="27"/>
      <c r="M488" s="5"/>
      <c r="N488" s="27"/>
      <c r="O488" s="27"/>
      <c r="P488" s="5"/>
      <c r="Q488" s="31"/>
      <c r="R488" s="31"/>
      <c r="S488" s="23"/>
      <c r="T488" s="23"/>
      <c r="U488" s="13"/>
      <c r="V488" s="19"/>
      <c r="W488" s="19"/>
      <c r="X488" s="13"/>
      <c r="Y488" s="13"/>
      <c r="Z488" s="19"/>
      <c r="AA488" s="19"/>
    </row>
    <row r="489" spans="1:27" x14ac:dyDescent="0.25">
      <c r="A489" s="11"/>
      <c r="B489" s="12"/>
      <c r="C489" s="27"/>
      <c r="D489" s="27"/>
      <c r="E489" s="27"/>
      <c r="F489" s="27"/>
      <c r="G489" s="27"/>
      <c r="H489" s="34"/>
      <c r="I489" s="34"/>
      <c r="J489" s="27"/>
      <c r="K489" s="27"/>
      <c r="L489" s="27"/>
      <c r="M489" s="5"/>
      <c r="N489" s="27"/>
      <c r="O489" s="27"/>
      <c r="P489" s="5"/>
      <c r="Q489" s="31"/>
      <c r="R489" s="31"/>
      <c r="S489" s="23"/>
      <c r="T489" s="23"/>
      <c r="U489" s="13"/>
      <c r="V489" s="19"/>
      <c r="W489" s="19"/>
      <c r="X489" s="13"/>
      <c r="Y489" s="13"/>
      <c r="Z489" s="19"/>
      <c r="AA489" s="19"/>
    </row>
    <row r="490" spans="1:27" x14ac:dyDescent="0.25">
      <c r="A490" s="11"/>
      <c r="B490" s="12"/>
      <c r="C490" s="27"/>
      <c r="D490" s="27"/>
      <c r="E490" s="27"/>
      <c r="F490" s="27"/>
      <c r="G490" s="27"/>
      <c r="H490" s="34"/>
      <c r="I490" s="34"/>
      <c r="J490" s="27"/>
      <c r="K490" s="27"/>
      <c r="L490" s="27"/>
      <c r="M490" s="5"/>
      <c r="N490" s="27"/>
      <c r="O490" s="27"/>
      <c r="P490" s="5"/>
      <c r="Q490" s="31"/>
      <c r="R490" s="31"/>
      <c r="S490" s="23"/>
      <c r="T490" s="23"/>
      <c r="U490" s="13"/>
      <c r="V490" s="19"/>
      <c r="W490" s="19"/>
      <c r="X490" s="13"/>
      <c r="Y490" s="13"/>
      <c r="Z490" s="19"/>
      <c r="AA490" s="19"/>
    </row>
    <row r="491" spans="1:27" x14ac:dyDescent="0.25">
      <c r="A491" s="11"/>
      <c r="B491" s="12"/>
      <c r="C491" s="27"/>
      <c r="D491" s="27"/>
      <c r="E491" s="27"/>
      <c r="F491" s="27"/>
      <c r="G491" s="27"/>
      <c r="H491" s="34"/>
      <c r="I491" s="34"/>
      <c r="J491" s="27"/>
      <c r="K491" s="27"/>
      <c r="L491" s="27"/>
      <c r="M491" s="5"/>
      <c r="N491" s="27"/>
      <c r="O491" s="27"/>
      <c r="P491" s="5"/>
      <c r="Q491" s="31"/>
      <c r="R491" s="31"/>
      <c r="S491" s="23"/>
      <c r="T491" s="23"/>
      <c r="U491" s="13"/>
      <c r="V491" s="19"/>
      <c r="W491" s="19"/>
      <c r="X491" s="13"/>
      <c r="Y491" s="13"/>
      <c r="Z491" s="19"/>
      <c r="AA491" s="19"/>
    </row>
    <row r="492" spans="1:27" x14ac:dyDescent="0.25">
      <c r="A492" s="11"/>
      <c r="B492" s="12"/>
      <c r="C492" s="27"/>
      <c r="D492" s="27"/>
      <c r="E492" s="27"/>
      <c r="F492" s="27"/>
      <c r="G492" s="27"/>
      <c r="H492" s="34"/>
      <c r="I492" s="34"/>
      <c r="J492" s="27"/>
      <c r="K492" s="27"/>
      <c r="L492" s="27"/>
      <c r="M492" s="5"/>
      <c r="N492" s="27"/>
      <c r="O492" s="27"/>
      <c r="P492" s="5"/>
      <c r="Q492" s="31"/>
      <c r="R492" s="31"/>
      <c r="S492" s="23"/>
      <c r="T492" s="23"/>
      <c r="U492" s="13"/>
      <c r="V492" s="19"/>
      <c r="W492" s="19"/>
      <c r="X492" s="13"/>
      <c r="Y492" s="13"/>
      <c r="Z492" s="19"/>
      <c r="AA492" s="19"/>
    </row>
    <row r="493" spans="1:27" x14ac:dyDescent="0.25">
      <c r="A493" s="11"/>
      <c r="B493" s="12"/>
      <c r="C493" s="27"/>
      <c r="D493" s="27"/>
      <c r="E493" s="27"/>
      <c r="F493" s="27"/>
      <c r="G493" s="27"/>
      <c r="H493" s="34"/>
      <c r="I493" s="34"/>
      <c r="J493" s="27"/>
      <c r="K493" s="27"/>
      <c r="L493" s="27"/>
      <c r="M493" s="5"/>
      <c r="N493" s="27"/>
      <c r="O493" s="27"/>
      <c r="P493" s="5"/>
      <c r="Q493" s="31"/>
      <c r="R493" s="31"/>
      <c r="S493" s="23"/>
      <c r="T493" s="23"/>
      <c r="U493" s="13"/>
      <c r="V493" s="19"/>
      <c r="W493" s="19"/>
      <c r="X493" s="13"/>
      <c r="Y493" s="13"/>
      <c r="Z493" s="19"/>
      <c r="AA493" s="19"/>
    </row>
    <row r="494" spans="1:27" x14ac:dyDescent="0.25">
      <c r="A494" s="11"/>
      <c r="B494" s="12"/>
      <c r="C494" s="27"/>
      <c r="D494" s="27"/>
      <c r="E494" s="27"/>
      <c r="F494" s="27"/>
      <c r="G494" s="27"/>
      <c r="H494" s="34"/>
      <c r="I494" s="34"/>
      <c r="J494" s="27"/>
      <c r="K494" s="27"/>
      <c r="L494" s="27"/>
      <c r="M494" s="5"/>
      <c r="N494" s="27"/>
      <c r="O494" s="27"/>
      <c r="P494" s="5"/>
      <c r="Q494" s="31"/>
      <c r="R494" s="31"/>
      <c r="S494" s="23"/>
      <c r="T494" s="23"/>
      <c r="U494" s="13"/>
      <c r="V494" s="19"/>
      <c r="W494" s="19"/>
      <c r="X494" s="13"/>
      <c r="Y494" s="13"/>
      <c r="Z494" s="19"/>
      <c r="AA494" s="19"/>
    </row>
    <row r="495" spans="1:27" x14ac:dyDescent="0.25">
      <c r="A495" s="11"/>
      <c r="B495" s="12"/>
      <c r="C495" s="27"/>
      <c r="D495" s="27"/>
      <c r="E495" s="27"/>
      <c r="F495" s="27"/>
      <c r="G495" s="27"/>
      <c r="H495" s="34"/>
      <c r="I495" s="34"/>
      <c r="J495" s="27"/>
      <c r="K495" s="27"/>
      <c r="L495" s="27"/>
      <c r="M495" s="5"/>
      <c r="N495" s="27"/>
      <c r="O495" s="27"/>
      <c r="P495" s="5"/>
      <c r="Q495" s="31"/>
      <c r="R495" s="31"/>
      <c r="S495" s="23"/>
      <c r="T495" s="23"/>
      <c r="U495" s="13"/>
      <c r="V495" s="19"/>
      <c r="W495" s="19"/>
      <c r="X495" s="13"/>
      <c r="Y495" s="13"/>
      <c r="Z495" s="19"/>
      <c r="AA495" s="19"/>
    </row>
    <row r="496" spans="1:27" x14ac:dyDescent="0.25">
      <c r="A496" s="11"/>
      <c r="B496" s="12"/>
      <c r="C496" s="27"/>
      <c r="D496" s="27"/>
      <c r="E496" s="27"/>
      <c r="F496" s="27"/>
      <c r="G496" s="27"/>
      <c r="H496" s="34"/>
      <c r="I496" s="34"/>
      <c r="J496" s="27"/>
      <c r="K496" s="27"/>
      <c r="L496" s="27"/>
      <c r="M496" s="5"/>
      <c r="N496" s="27"/>
      <c r="O496" s="27"/>
      <c r="P496" s="5"/>
      <c r="Q496" s="31"/>
      <c r="R496" s="31"/>
      <c r="S496" s="23"/>
      <c r="T496" s="23"/>
      <c r="U496" s="13"/>
      <c r="V496" s="19"/>
      <c r="W496" s="19"/>
      <c r="X496" s="13"/>
      <c r="Y496" s="13"/>
      <c r="Z496" s="19"/>
      <c r="AA496" s="19"/>
    </row>
    <row r="497" spans="1:27" x14ac:dyDescent="0.25">
      <c r="A497" s="11"/>
      <c r="B497" s="12"/>
      <c r="C497" s="27"/>
      <c r="D497" s="27"/>
      <c r="E497" s="27"/>
      <c r="F497" s="27"/>
      <c r="G497" s="27"/>
      <c r="H497" s="34"/>
      <c r="I497" s="34"/>
      <c r="J497" s="27"/>
      <c r="K497" s="27"/>
      <c r="L497" s="27"/>
      <c r="M497" s="5"/>
      <c r="N497" s="27"/>
      <c r="O497" s="27"/>
      <c r="P497" s="5"/>
      <c r="Q497" s="31"/>
      <c r="R497" s="31"/>
      <c r="S497" s="23"/>
      <c r="T497" s="23"/>
      <c r="U497" s="13"/>
      <c r="V497" s="19"/>
      <c r="W497" s="19"/>
      <c r="X497" s="13"/>
      <c r="Y497" s="13"/>
      <c r="Z497" s="19"/>
      <c r="AA497" s="19"/>
    </row>
    <row r="498" spans="1:27" x14ac:dyDescent="0.25">
      <c r="A498" s="11"/>
      <c r="B498" s="12"/>
      <c r="C498" s="27"/>
      <c r="D498" s="27"/>
      <c r="E498" s="27"/>
      <c r="F498" s="27"/>
      <c r="G498" s="27"/>
      <c r="H498" s="34"/>
      <c r="I498" s="34"/>
      <c r="J498" s="27"/>
      <c r="K498" s="27"/>
      <c r="L498" s="27"/>
      <c r="M498" s="5"/>
      <c r="N498" s="27"/>
      <c r="O498" s="27"/>
      <c r="P498" s="5"/>
      <c r="Q498" s="31"/>
      <c r="R498" s="31"/>
      <c r="S498" s="23"/>
      <c r="T498" s="23"/>
      <c r="U498" s="13"/>
      <c r="V498" s="19"/>
      <c r="W498" s="19"/>
      <c r="X498" s="13"/>
      <c r="Y498" s="13"/>
      <c r="Z498" s="19"/>
      <c r="AA498" s="19"/>
    </row>
    <row r="499" spans="1:27" x14ac:dyDescent="0.25">
      <c r="A499" s="11"/>
      <c r="B499" s="12"/>
      <c r="C499" s="27"/>
      <c r="D499" s="27"/>
      <c r="E499" s="27"/>
      <c r="F499" s="27"/>
      <c r="G499" s="27"/>
      <c r="H499" s="34"/>
      <c r="I499" s="34"/>
      <c r="J499" s="27"/>
      <c r="K499" s="27"/>
      <c r="L499" s="27"/>
      <c r="M499" s="5"/>
      <c r="N499" s="27"/>
      <c r="O499" s="27"/>
      <c r="P499" s="5"/>
      <c r="Q499" s="31"/>
      <c r="R499" s="31"/>
      <c r="S499" s="23"/>
      <c r="T499" s="23"/>
      <c r="U499" s="13"/>
      <c r="V499" s="19"/>
      <c r="W499" s="19"/>
      <c r="X499" s="13"/>
      <c r="Y499" s="13"/>
      <c r="Z499" s="19"/>
      <c r="AA499" s="19"/>
    </row>
    <row r="500" spans="1:27" x14ac:dyDescent="0.25">
      <c r="A500" s="11"/>
      <c r="B500" s="12"/>
      <c r="C500" s="27"/>
      <c r="D500" s="27"/>
      <c r="E500" s="27"/>
      <c r="F500" s="27"/>
      <c r="G500" s="27"/>
      <c r="H500" s="34"/>
      <c r="I500" s="34"/>
      <c r="J500" s="27"/>
      <c r="K500" s="27"/>
      <c r="L500" s="27"/>
      <c r="M500" s="5"/>
      <c r="N500" s="27"/>
      <c r="O500" s="27"/>
      <c r="P500" s="5"/>
      <c r="Q500" s="31"/>
      <c r="R500" s="31"/>
      <c r="S500" s="23"/>
      <c r="T500" s="23"/>
      <c r="U500" s="13"/>
      <c r="V500" s="19"/>
      <c r="W500" s="19"/>
      <c r="X500" s="13"/>
      <c r="Y500" s="13"/>
      <c r="Z500" s="19"/>
      <c r="AA500" s="19"/>
    </row>
    <row r="501" spans="1:27" x14ac:dyDescent="0.25">
      <c r="A501" s="11"/>
      <c r="B501" s="12"/>
      <c r="C501" s="27"/>
      <c r="D501" s="27"/>
      <c r="E501" s="27"/>
      <c r="F501" s="27"/>
      <c r="G501" s="27"/>
      <c r="H501" s="34"/>
      <c r="I501" s="34"/>
      <c r="J501" s="27"/>
      <c r="K501" s="27"/>
      <c r="L501" s="27"/>
      <c r="M501" s="5"/>
      <c r="N501" s="27"/>
      <c r="O501" s="27"/>
      <c r="P501" s="5"/>
      <c r="Q501" s="31"/>
      <c r="R501" s="31"/>
      <c r="S501" s="23"/>
      <c r="T501" s="23"/>
      <c r="U501" s="13"/>
      <c r="V501" s="19"/>
      <c r="W501" s="19"/>
      <c r="X501" s="13"/>
      <c r="Y501" s="13"/>
      <c r="Z501" s="19"/>
      <c r="AA501" s="19"/>
    </row>
    <row r="502" spans="1:27" x14ac:dyDescent="0.25">
      <c r="A502" s="11"/>
      <c r="B502" s="12"/>
      <c r="C502" s="27"/>
      <c r="D502" s="27"/>
      <c r="E502" s="27"/>
      <c r="F502" s="27"/>
      <c r="G502" s="27"/>
      <c r="H502" s="34"/>
      <c r="I502" s="34"/>
      <c r="J502" s="27"/>
      <c r="K502" s="27"/>
      <c r="L502" s="27"/>
      <c r="M502" s="5"/>
      <c r="N502" s="27"/>
      <c r="O502" s="27"/>
      <c r="P502" s="5"/>
      <c r="Q502" s="31"/>
      <c r="R502" s="31"/>
      <c r="S502" s="23"/>
      <c r="T502" s="23"/>
      <c r="U502" s="13"/>
      <c r="V502" s="19"/>
      <c r="W502" s="19"/>
      <c r="X502" s="13"/>
      <c r="Y502" s="13"/>
      <c r="Z502" s="19"/>
      <c r="AA502" s="19"/>
    </row>
    <row r="503" spans="1:27" x14ac:dyDescent="0.25">
      <c r="A503" s="11"/>
      <c r="B503" s="12"/>
      <c r="C503" s="27"/>
      <c r="D503" s="27"/>
      <c r="E503" s="27"/>
      <c r="F503" s="27"/>
      <c r="G503" s="27"/>
      <c r="H503" s="34"/>
      <c r="I503" s="34"/>
      <c r="J503" s="27"/>
      <c r="K503" s="27"/>
      <c r="L503" s="27"/>
      <c r="M503" s="5"/>
      <c r="N503" s="27"/>
      <c r="O503" s="27"/>
      <c r="P503" s="5"/>
      <c r="Q503" s="31"/>
      <c r="R503" s="31"/>
      <c r="S503" s="23"/>
      <c r="T503" s="23"/>
      <c r="U503" s="13"/>
      <c r="V503" s="19"/>
      <c r="W503" s="19"/>
      <c r="X503" s="13"/>
      <c r="Y503" s="13"/>
      <c r="Z503" s="19"/>
      <c r="AA503" s="19"/>
    </row>
    <row r="504" spans="1:27" x14ac:dyDescent="0.25">
      <c r="A504" s="11"/>
      <c r="B504" s="12"/>
      <c r="C504" s="27"/>
      <c r="D504" s="27"/>
      <c r="E504" s="27"/>
      <c r="F504" s="27"/>
      <c r="G504" s="27"/>
      <c r="H504" s="34"/>
      <c r="I504" s="34"/>
      <c r="J504" s="27"/>
      <c r="K504" s="27"/>
      <c r="L504" s="27"/>
      <c r="M504" s="5"/>
      <c r="N504" s="27"/>
      <c r="O504" s="27"/>
      <c r="P504" s="5"/>
      <c r="Q504" s="31"/>
      <c r="R504" s="31"/>
      <c r="S504" s="23"/>
      <c r="T504" s="23"/>
      <c r="U504" s="13"/>
      <c r="V504" s="19"/>
      <c r="W504" s="19"/>
      <c r="X504" s="13"/>
      <c r="Y504" s="13"/>
      <c r="Z504" s="19"/>
      <c r="AA504" s="19"/>
    </row>
    <row r="505" spans="1:27" x14ac:dyDescent="0.25">
      <c r="A505" s="11"/>
      <c r="B505" s="12"/>
      <c r="C505" s="27"/>
      <c r="D505" s="27"/>
      <c r="E505" s="27"/>
      <c r="F505" s="27"/>
      <c r="G505" s="27"/>
      <c r="H505" s="34"/>
      <c r="I505" s="34"/>
      <c r="J505" s="27"/>
      <c r="K505" s="27"/>
      <c r="L505" s="27"/>
      <c r="M505" s="5"/>
      <c r="N505" s="27"/>
      <c r="O505" s="27"/>
      <c r="P505" s="5"/>
      <c r="Q505" s="31"/>
      <c r="R505" s="31"/>
      <c r="S505" s="23"/>
      <c r="T505" s="23"/>
      <c r="U505" s="13"/>
      <c r="V505" s="19"/>
      <c r="W505" s="19"/>
      <c r="X505" s="13"/>
      <c r="Y505" s="13"/>
      <c r="Z505" s="19"/>
      <c r="AA505" s="19"/>
    </row>
    <row r="506" spans="1:27" x14ac:dyDescent="0.25">
      <c r="A506" s="11"/>
      <c r="B506" s="12"/>
      <c r="C506" s="27"/>
      <c r="D506" s="27"/>
      <c r="E506" s="27"/>
      <c r="F506" s="27"/>
      <c r="G506" s="27"/>
      <c r="H506" s="34"/>
      <c r="I506" s="34"/>
      <c r="J506" s="27"/>
      <c r="K506" s="27"/>
      <c r="L506" s="27"/>
      <c r="M506" s="5"/>
      <c r="N506" s="27"/>
      <c r="O506" s="27"/>
      <c r="P506" s="5"/>
      <c r="Q506" s="31"/>
      <c r="R506" s="31"/>
      <c r="S506" s="23"/>
      <c r="T506" s="23"/>
      <c r="U506" s="13"/>
      <c r="V506" s="19"/>
      <c r="W506" s="19"/>
      <c r="X506" s="13"/>
      <c r="Y506" s="13"/>
      <c r="Z506" s="19"/>
      <c r="AA506" s="19"/>
    </row>
    <row r="507" spans="1:27" x14ac:dyDescent="0.25">
      <c r="A507" s="11"/>
      <c r="B507" s="12"/>
      <c r="C507" s="27"/>
      <c r="D507" s="27"/>
      <c r="E507" s="27"/>
      <c r="F507" s="27"/>
      <c r="G507" s="27"/>
      <c r="H507" s="34"/>
      <c r="I507" s="34"/>
      <c r="J507" s="27"/>
      <c r="K507" s="27"/>
      <c r="L507" s="27"/>
      <c r="M507" s="5"/>
      <c r="N507" s="27"/>
      <c r="O507" s="27"/>
      <c r="P507" s="5"/>
      <c r="Q507" s="31"/>
      <c r="R507" s="31"/>
      <c r="S507" s="23"/>
      <c r="T507" s="23"/>
      <c r="U507" s="13"/>
      <c r="V507" s="19"/>
      <c r="W507" s="19"/>
      <c r="X507" s="13"/>
      <c r="Y507" s="13"/>
      <c r="Z507" s="19"/>
      <c r="AA507" s="19"/>
    </row>
    <row r="508" spans="1:27" x14ac:dyDescent="0.25">
      <c r="A508" s="11"/>
      <c r="B508" s="12"/>
      <c r="C508" s="27"/>
      <c r="D508" s="27"/>
      <c r="E508" s="27"/>
      <c r="F508" s="27"/>
      <c r="G508" s="27"/>
      <c r="H508" s="34"/>
      <c r="I508" s="34"/>
      <c r="J508" s="27"/>
      <c r="K508" s="27"/>
      <c r="L508" s="27"/>
      <c r="M508" s="5"/>
      <c r="N508" s="27"/>
      <c r="O508" s="27"/>
      <c r="P508" s="5"/>
      <c r="Q508" s="31"/>
      <c r="R508" s="31"/>
      <c r="S508" s="23"/>
      <c r="T508" s="23"/>
      <c r="U508" s="13"/>
      <c r="V508" s="19"/>
      <c r="W508" s="19"/>
      <c r="X508" s="13"/>
      <c r="Y508" s="13"/>
      <c r="Z508" s="19"/>
      <c r="AA508" s="19"/>
    </row>
    <row r="509" spans="1:27" x14ac:dyDescent="0.25">
      <c r="A509" s="11"/>
      <c r="B509" s="12"/>
      <c r="C509" s="27"/>
      <c r="D509" s="27"/>
      <c r="E509" s="27"/>
      <c r="F509" s="27"/>
      <c r="G509" s="27"/>
      <c r="H509" s="34"/>
      <c r="I509" s="34"/>
      <c r="J509" s="27"/>
      <c r="K509" s="27"/>
      <c r="L509" s="27"/>
      <c r="M509" s="5"/>
      <c r="N509" s="27"/>
      <c r="O509" s="27"/>
      <c r="P509" s="5"/>
      <c r="Q509" s="31"/>
      <c r="R509" s="31"/>
      <c r="S509" s="23"/>
      <c r="T509" s="23"/>
      <c r="U509" s="13"/>
      <c r="V509" s="19"/>
      <c r="W509" s="19"/>
      <c r="X509" s="13"/>
      <c r="Y509" s="13"/>
      <c r="Z509" s="19"/>
      <c r="AA509" s="19"/>
    </row>
    <row r="510" spans="1:27" x14ac:dyDescent="0.25">
      <c r="A510" s="11"/>
      <c r="B510" s="12"/>
      <c r="C510" s="27"/>
      <c r="D510" s="27"/>
      <c r="E510" s="27"/>
      <c r="F510" s="27"/>
      <c r="G510" s="27"/>
      <c r="H510" s="34"/>
      <c r="I510" s="34"/>
      <c r="J510" s="27"/>
      <c r="K510" s="27"/>
      <c r="L510" s="27"/>
      <c r="M510" s="5"/>
      <c r="N510" s="27"/>
      <c r="O510" s="27"/>
      <c r="P510" s="5"/>
      <c r="Q510" s="31"/>
      <c r="R510" s="31"/>
      <c r="S510" s="23"/>
      <c r="T510" s="23"/>
      <c r="U510" s="13"/>
      <c r="V510" s="19"/>
      <c r="W510" s="19"/>
      <c r="X510" s="13"/>
      <c r="Y510" s="13"/>
      <c r="Z510" s="19"/>
      <c r="AA510" s="19"/>
    </row>
    <row r="511" spans="1:27" x14ac:dyDescent="0.25">
      <c r="A511" s="11"/>
      <c r="B511" s="12"/>
      <c r="C511" s="27"/>
      <c r="D511" s="27"/>
      <c r="E511" s="27"/>
      <c r="F511" s="27"/>
      <c r="G511" s="27"/>
      <c r="H511" s="34"/>
      <c r="I511" s="34"/>
      <c r="J511" s="27"/>
      <c r="K511" s="27"/>
      <c r="L511" s="27"/>
      <c r="M511" s="5"/>
      <c r="N511" s="27"/>
      <c r="O511" s="27"/>
      <c r="P511" s="5"/>
      <c r="Q511" s="31"/>
      <c r="R511" s="31"/>
      <c r="S511" s="23"/>
      <c r="T511" s="23"/>
      <c r="U511" s="13"/>
      <c r="V511" s="19"/>
      <c r="W511" s="19"/>
      <c r="X511" s="13"/>
      <c r="Y511" s="13"/>
      <c r="Z511" s="19"/>
      <c r="AA511" s="19"/>
    </row>
    <row r="512" spans="1:27" x14ac:dyDescent="0.25">
      <c r="A512" s="11"/>
      <c r="B512" s="12"/>
      <c r="C512" s="27"/>
      <c r="D512" s="27"/>
      <c r="E512" s="27"/>
      <c r="F512" s="27"/>
      <c r="G512" s="27"/>
      <c r="H512" s="34"/>
      <c r="I512" s="34"/>
      <c r="J512" s="27"/>
      <c r="K512" s="27"/>
      <c r="L512" s="27"/>
      <c r="M512" s="5"/>
      <c r="N512" s="27"/>
      <c r="O512" s="27"/>
      <c r="P512" s="5"/>
      <c r="Q512" s="31"/>
      <c r="R512" s="31"/>
      <c r="S512" s="23"/>
      <c r="T512" s="23"/>
      <c r="U512" s="13"/>
      <c r="V512" s="19"/>
      <c r="W512" s="19"/>
      <c r="X512" s="13"/>
      <c r="Y512" s="13"/>
      <c r="Z512" s="19"/>
      <c r="AA512" s="19"/>
    </row>
    <row r="513" spans="1:27" x14ac:dyDescent="0.25">
      <c r="A513" s="11"/>
      <c r="B513" s="12"/>
      <c r="C513" s="27"/>
      <c r="D513" s="27"/>
      <c r="E513" s="27"/>
      <c r="F513" s="27"/>
      <c r="G513" s="27"/>
      <c r="H513" s="34"/>
      <c r="I513" s="34"/>
      <c r="J513" s="27"/>
      <c r="K513" s="27"/>
      <c r="L513" s="27"/>
      <c r="M513" s="5"/>
      <c r="N513" s="27"/>
      <c r="O513" s="27"/>
      <c r="P513" s="5"/>
      <c r="Q513" s="31"/>
      <c r="R513" s="31"/>
      <c r="S513" s="23"/>
      <c r="T513" s="23"/>
      <c r="U513" s="13"/>
      <c r="V513" s="19"/>
      <c r="W513" s="19"/>
      <c r="X513" s="13"/>
      <c r="Y513" s="13"/>
      <c r="Z513" s="19"/>
      <c r="AA513" s="19"/>
    </row>
    <row r="514" spans="1:27" x14ac:dyDescent="0.25">
      <c r="A514" s="11"/>
      <c r="B514" s="12"/>
      <c r="C514" s="27"/>
      <c r="D514" s="27"/>
      <c r="E514" s="27"/>
      <c r="F514" s="27"/>
      <c r="G514" s="27"/>
      <c r="H514" s="34"/>
      <c r="I514" s="34"/>
      <c r="J514" s="27"/>
      <c r="K514" s="27"/>
      <c r="L514" s="27"/>
      <c r="M514" s="5"/>
      <c r="N514" s="27"/>
      <c r="O514" s="27"/>
      <c r="P514" s="5"/>
      <c r="Q514" s="31"/>
      <c r="R514" s="31"/>
      <c r="S514" s="23"/>
      <c r="T514" s="23"/>
      <c r="U514" s="13"/>
      <c r="V514" s="19"/>
      <c r="W514" s="19"/>
      <c r="X514" s="13"/>
      <c r="Y514" s="13"/>
      <c r="Z514" s="19"/>
      <c r="AA514" s="19"/>
    </row>
    <row r="515" spans="1:27" x14ac:dyDescent="0.25">
      <c r="A515" s="11"/>
      <c r="B515" s="12"/>
      <c r="C515" s="27"/>
      <c r="D515" s="27"/>
      <c r="E515" s="27"/>
      <c r="F515" s="27"/>
      <c r="G515" s="27"/>
      <c r="H515" s="34"/>
      <c r="I515" s="34"/>
      <c r="J515" s="27"/>
      <c r="K515" s="27"/>
      <c r="L515" s="27"/>
      <c r="M515" s="5"/>
      <c r="N515" s="27"/>
      <c r="O515" s="27"/>
      <c r="P515" s="5"/>
      <c r="Q515" s="31"/>
      <c r="R515" s="31"/>
      <c r="S515" s="23"/>
      <c r="T515" s="23"/>
      <c r="U515" s="13"/>
      <c r="V515" s="19"/>
      <c r="W515" s="19"/>
      <c r="X515" s="13"/>
      <c r="Y515" s="13"/>
      <c r="Z515" s="19"/>
      <c r="AA515" s="19"/>
    </row>
    <row r="516" spans="1:27" x14ac:dyDescent="0.25">
      <c r="A516" s="11"/>
      <c r="B516" s="12"/>
      <c r="C516" s="27"/>
      <c r="D516" s="27"/>
      <c r="E516" s="27"/>
      <c r="F516" s="27"/>
      <c r="G516" s="27"/>
      <c r="H516" s="34"/>
      <c r="I516" s="34"/>
      <c r="J516" s="27"/>
      <c r="K516" s="27"/>
      <c r="L516" s="27"/>
      <c r="M516" s="5"/>
      <c r="N516" s="27"/>
      <c r="O516" s="27"/>
      <c r="P516" s="5"/>
      <c r="Q516" s="31"/>
      <c r="R516" s="31"/>
      <c r="S516" s="23"/>
      <c r="T516" s="23"/>
      <c r="U516" s="13"/>
      <c r="V516" s="19"/>
      <c r="W516" s="19"/>
      <c r="X516" s="13"/>
      <c r="Y516" s="13"/>
      <c r="Z516" s="19"/>
      <c r="AA516" s="19"/>
    </row>
    <row r="517" spans="1:27" x14ac:dyDescent="0.25">
      <c r="A517" s="11"/>
      <c r="B517" s="12"/>
      <c r="C517" s="27"/>
      <c r="D517" s="27"/>
      <c r="E517" s="27"/>
      <c r="F517" s="27"/>
      <c r="G517" s="27"/>
      <c r="H517" s="34"/>
      <c r="I517" s="34"/>
      <c r="J517" s="27"/>
      <c r="K517" s="27"/>
      <c r="L517" s="27"/>
      <c r="M517" s="5"/>
      <c r="N517" s="27"/>
      <c r="O517" s="27"/>
      <c r="P517" s="5"/>
      <c r="Q517" s="31"/>
      <c r="R517" s="31"/>
      <c r="S517" s="23"/>
      <c r="T517" s="23"/>
      <c r="U517" s="13"/>
      <c r="V517" s="19"/>
      <c r="W517" s="19"/>
      <c r="X517" s="13"/>
      <c r="Y517" s="13"/>
      <c r="Z517" s="19"/>
      <c r="AA517" s="19"/>
    </row>
    <row r="518" spans="1:27" x14ac:dyDescent="0.25">
      <c r="A518" s="11"/>
      <c r="B518" s="12"/>
      <c r="C518" s="27"/>
      <c r="D518" s="27"/>
      <c r="E518" s="27"/>
      <c r="F518" s="27"/>
      <c r="G518" s="27"/>
      <c r="H518" s="34"/>
      <c r="I518" s="34"/>
      <c r="J518" s="27"/>
      <c r="K518" s="27"/>
      <c r="L518" s="27"/>
      <c r="M518" s="5"/>
      <c r="N518" s="27"/>
      <c r="O518" s="27"/>
      <c r="P518" s="5"/>
      <c r="Q518" s="31"/>
      <c r="R518" s="31"/>
      <c r="S518" s="23"/>
      <c r="T518" s="23"/>
      <c r="U518" s="13"/>
      <c r="V518" s="19"/>
      <c r="W518" s="19"/>
      <c r="X518" s="13"/>
      <c r="Y518" s="13"/>
      <c r="Z518" s="19"/>
      <c r="AA518" s="19"/>
    </row>
    <row r="519" spans="1:27" x14ac:dyDescent="0.25">
      <c r="A519" s="11"/>
      <c r="B519" s="12"/>
      <c r="C519" s="27"/>
      <c r="D519" s="27"/>
      <c r="E519" s="27"/>
      <c r="F519" s="27"/>
      <c r="G519" s="27"/>
      <c r="H519" s="34"/>
      <c r="I519" s="34"/>
      <c r="J519" s="27"/>
      <c r="K519" s="27"/>
      <c r="L519" s="27"/>
      <c r="M519" s="5"/>
      <c r="N519" s="27"/>
      <c r="O519" s="27"/>
      <c r="P519" s="5"/>
      <c r="Q519" s="31"/>
      <c r="R519" s="31"/>
      <c r="S519" s="23"/>
      <c r="T519" s="23"/>
      <c r="U519" s="13"/>
      <c r="V519" s="19"/>
      <c r="W519" s="19"/>
      <c r="X519" s="13"/>
      <c r="Y519" s="13"/>
      <c r="Z519" s="19"/>
      <c r="AA519" s="19"/>
    </row>
    <row r="520" spans="1:27" x14ac:dyDescent="0.25">
      <c r="A520" s="11"/>
      <c r="B520" s="12"/>
      <c r="C520" s="27"/>
      <c r="D520" s="27"/>
      <c r="E520" s="27"/>
      <c r="F520" s="27"/>
      <c r="G520" s="27"/>
      <c r="H520" s="34"/>
      <c r="I520" s="34"/>
      <c r="J520" s="27"/>
      <c r="K520" s="27"/>
      <c r="L520" s="27"/>
      <c r="M520" s="5"/>
      <c r="N520" s="27"/>
      <c r="O520" s="27"/>
      <c r="P520" s="5"/>
      <c r="Q520" s="31"/>
      <c r="R520" s="31"/>
      <c r="S520" s="23"/>
      <c r="T520" s="23"/>
      <c r="U520" s="13"/>
      <c r="V520" s="19"/>
      <c r="W520" s="19"/>
      <c r="X520" s="13"/>
      <c r="Y520" s="13"/>
      <c r="Z520" s="19"/>
      <c r="AA520" s="19"/>
    </row>
    <row r="521" spans="1:27" x14ac:dyDescent="0.25">
      <c r="A521" s="11"/>
      <c r="B521" s="12"/>
      <c r="C521" s="27"/>
      <c r="D521" s="27"/>
      <c r="E521" s="27"/>
      <c r="F521" s="27"/>
      <c r="G521" s="27"/>
      <c r="H521" s="34"/>
      <c r="I521" s="34"/>
      <c r="J521" s="27"/>
      <c r="K521" s="27"/>
      <c r="L521" s="27"/>
      <c r="M521" s="5"/>
      <c r="N521" s="27"/>
      <c r="O521" s="27"/>
      <c r="P521" s="5"/>
      <c r="Q521" s="31"/>
      <c r="R521" s="31"/>
      <c r="S521" s="23"/>
      <c r="T521" s="23"/>
      <c r="U521" s="13"/>
      <c r="V521" s="19"/>
      <c r="W521" s="19"/>
      <c r="X521" s="13"/>
      <c r="Y521" s="13"/>
      <c r="Z521" s="19"/>
      <c r="AA521" s="19"/>
    </row>
    <row r="522" spans="1:27" x14ac:dyDescent="0.25">
      <c r="A522" s="11"/>
      <c r="B522" s="12"/>
      <c r="C522" s="27"/>
      <c r="D522" s="27"/>
      <c r="E522" s="27"/>
      <c r="F522" s="27"/>
      <c r="G522" s="27"/>
      <c r="H522" s="34"/>
      <c r="I522" s="34"/>
      <c r="J522" s="27"/>
      <c r="K522" s="27"/>
      <c r="L522" s="27"/>
      <c r="M522" s="5"/>
      <c r="N522" s="27"/>
      <c r="O522" s="27"/>
      <c r="P522" s="5"/>
      <c r="Q522" s="31"/>
      <c r="R522" s="31"/>
      <c r="S522" s="23"/>
      <c r="T522" s="23"/>
      <c r="U522" s="13"/>
      <c r="V522" s="19"/>
      <c r="W522" s="19"/>
      <c r="X522" s="13"/>
      <c r="Y522" s="13"/>
      <c r="Z522" s="19"/>
      <c r="AA522" s="19"/>
    </row>
    <row r="523" spans="1:27" x14ac:dyDescent="0.25">
      <c r="A523" s="11"/>
      <c r="B523" s="12"/>
      <c r="C523" s="27"/>
      <c r="D523" s="27"/>
      <c r="E523" s="27"/>
      <c r="F523" s="27"/>
      <c r="G523" s="27"/>
      <c r="H523" s="34"/>
      <c r="I523" s="34"/>
      <c r="J523" s="27"/>
      <c r="K523" s="27"/>
      <c r="L523" s="27"/>
      <c r="M523" s="5"/>
      <c r="N523" s="27"/>
      <c r="O523" s="27"/>
      <c r="P523" s="5"/>
      <c r="Q523" s="31"/>
      <c r="R523" s="31"/>
      <c r="S523" s="23"/>
      <c r="T523" s="23"/>
      <c r="U523" s="13"/>
      <c r="V523" s="19"/>
      <c r="W523" s="19"/>
      <c r="X523" s="13"/>
      <c r="Y523" s="13"/>
      <c r="Z523" s="19"/>
      <c r="AA523" s="19"/>
    </row>
    <row r="524" spans="1:27" x14ac:dyDescent="0.25">
      <c r="A524" s="11"/>
      <c r="B524" s="12"/>
      <c r="C524" s="27"/>
      <c r="D524" s="27"/>
      <c r="E524" s="27"/>
      <c r="F524" s="27"/>
      <c r="G524" s="27"/>
      <c r="H524" s="34"/>
      <c r="I524" s="34"/>
      <c r="J524" s="27"/>
      <c r="K524" s="27"/>
      <c r="L524" s="27"/>
      <c r="M524" s="5"/>
      <c r="N524" s="27"/>
      <c r="O524" s="27"/>
      <c r="P524" s="5"/>
      <c r="Q524" s="31"/>
      <c r="R524" s="31"/>
      <c r="S524" s="23"/>
      <c r="T524" s="23"/>
      <c r="U524" s="13"/>
      <c r="V524" s="19"/>
      <c r="W524" s="19"/>
      <c r="X524" s="13"/>
      <c r="Y524" s="13"/>
      <c r="Z524" s="19"/>
      <c r="AA524" s="19"/>
    </row>
    <row r="525" spans="1:27" x14ac:dyDescent="0.25">
      <c r="A525" s="11"/>
      <c r="B525" s="12"/>
      <c r="C525" s="27"/>
      <c r="D525" s="27"/>
      <c r="E525" s="27"/>
      <c r="F525" s="27"/>
      <c r="G525" s="27"/>
      <c r="H525" s="34"/>
      <c r="I525" s="34"/>
      <c r="J525" s="27"/>
      <c r="K525" s="27"/>
      <c r="L525" s="27"/>
      <c r="M525" s="5"/>
      <c r="N525" s="27"/>
      <c r="O525" s="27"/>
      <c r="P525" s="5"/>
      <c r="Q525" s="31"/>
      <c r="R525" s="31"/>
      <c r="S525" s="23"/>
      <c r="T525" s="23"/>
      <c r="U525" s="13"/>
      <c r="V525" s="19"/>
      <c r="W525" s="19"/>
      <c r="X525" s="13"/>
      <c r="Y525" s="13"/>
      <c r="Z525" s="19"/>
      <c r="AA525" s="19"/>
    </row>
    <row r="526" spans="1:27" x14ac:dyDescent="0.25">
      <c r="A526" s="11"/>
      <c r="B526" s="12"/>
      <c r="C526" s="27"/>
      <c r="D526" s="27"/>
      <c r="E526" s="27"/>
      <c r="F526" s="27"/>
      <c r="G526" s="27"/>
      <c r="H526" s="34"/>
      <c r="I526" s="34"/>
      <c r="J526" s="27"/>
      <c r="K526" s="27"/>
      <c r="L526" s="27"/>
      <c r="M526" s="5"/>
      <c r="N526" s="27"/>
      <c r="O526" s="27"/>
      <c r="P526" s="5"/>
      <c r="Q526" s="31"/>
      <c r="R526" s="31"/>
      <c r="S526" s="23"/>
      <c r="T526" s="23"/>
      <c r="U526" s="13"/>
      <c r="V526" s="19"/>
      <c r="W526" s="19"/>
      <c r="X526" s="13"/>
      <c r="Y526" s="13"/>
      <c r="Z526" s="19"/>
      <c r="AA526" s="19"/>
    </row>
    <row r="527" spans="1:27" x14ac:dyDescent="0.25">
      <c r="A527" s="11"/>
      <c r="B527" s="12"/>
      <c r="C527" s="27"/>
      <c r="D527" s="27"/>
      <c r="E527" s="27"/>
      <c r="F527" s="27"/>
      <c r="G527" s="27"/>
      <c r="H527" s="34"/>
      <c r="I527" s="34"/>
      <c r="J527" s="27"/>
      <c r="K527" s="27"/>
      <c r="L527" s="27"/>
      <c r="M527" s="5"/>
      <c r="N527" s="27"/>
      <c r="O527" s="27"/>
      <c r="P527" s="5"/>
      <c r="Q527" s="31"/>
      <c r="R527" s="31"/>
      <c r="S527" s="23"/>
      <c r="T527" s="23"/>
      <c r="U527" s="13"/>
      <c r="V527" s="19"/>
      <c r="W527" s="19"/>
      <c r="X527" s="13"/>
      <c r="Y527" s="13"/>
      <c r="Z527" s="19"/>
      <c r="AA527" s="19"/>
    </row>
    <row r="528" spans="1:27" x14ac:dyDescent="0.25">
      <c r="A528" s="11"/>
      <c r="B528" s="12"/>
      <c r="C528" s="27"/>
      <c r="D528" s="27"/>
      <c r="E528" s="27"/>
      <c r="F528" s="27"/>
      <c r="G528" s="27"/>
      <c r="H528" s="34"/>
      <c r="I528" s="34"/>
      <c r="J528" s="27"/>
      <c r="K528" s="27"/>
      <c r="L528" s="27"/>
      <c r="M528" s="5"/>
      <c r="N528" s="27"/>
      <c r="O528" s="27"/>
      <c r="P528" s="5"/>
      <c r="Q528" s="31"/>
      <c r="R528" s="31"/>
      <c r="S528" s="23"/>
      <c r="T528" s="23"/>
      <c r="U528" s="13"/>
      <c r="V528" s="19"/>
      <c r="W528" s="19"/>
      <c r="X528" s="13"/>
      <c r="Y528" s="13"/>
      <c r="Z528" s="19"/>
      <c r="AA528" s="19"/>
    </row>
    <row r="529" spans="1:27" x14ac:dyDescent="0.25">
      <c r="A529" s="11"/>
      <c r="B529" s="12"/>
      <c r="C529" s="27"/>
      <c r="D529" s="27"/>
      <c r="E529" s="27"/>
      <c r="F529" s="27"/>
      <c r="G529" s="27"/>
      <c r="H529" s="34"/>
      <c r="I529" s="34"/>
      <c r="J529" s="27"/>
      <c r="K529" s="27"/>
      <c r="L529" s="27"/>
      <c r="M529" s="5"/>
      <c r="N529" s="27"/>
      <c r="O529" s="27"/>
      <c r="P529" s="5"/>
      <c r="Q529" s="31"/>
      <c r="R529" s="31"/>
      <c r="S529" s="23"/>
      <c r="T529" s="23"/>
      <c r="U529" s="13"/>
      <c r="V529" s="19"/>
      <c r="W529" s="19"/>
      <c r="X529" s="13"/>
      <c r="Y529" s="13"/>
      <c r="Z529" s="19"/>
      <c r="AA529" s="19"/>
    </row>
    <row r="530" spans="1:27" x14ac:dyDescent="0.25">
      <c r="A530" s="11"/>
      <c r="B530" s="12"/>
      <c r="C530" s="27"/>
      <c r="D530" s="27"/>
      <c r="E530" s="27"/>
      <c r="F530" s="27"/>
      <c r="G530" s="27"/>
      <c r="H530" s="34"/>
      <c r="I530" s="34"/>
      <c r="J530" s="27"/>
      <c r="K530" s="27"/>
      <c r="L530" s="27"/>
      <c r="M530" s="5"/>
      <c r="N530" s="27"/>
      <c r="O530" s="27"/>
      <c r="P530" s="5"/>
      <c r="Q530" s="31"/>
      <c r="R530" s="31"/>
      <c r="S530" s="23"/>
      <c r="T530" s="23"/>
      <c r="U530" s="13"/>
      <c r="V530" s="19"/>
      <c r="W530" s="19"/>
      <c r="X530" s="13"/>
      <c r="Y530" s="13"/>
      <c r="Z530" s="19"/>
      <c r="AA530" s="19"/>
    </row>
    <row r="531" spans="1:27" x14ac:dyDescent="0.25">
      <c r="A531" s="14"/>
      <c r="B531" s="15"/>
      <c r="C531" s="28"/>
      <c r="D531" s="28"/>
      <c r="E531" s="28"/>
      <c r="F531" s="28"/>
      <c r="G531" s="28"/>
      <c r="H531" s="35"/>
      <c r="I531" s="35"/>
      <c r="J531" s="28"/>
      <c r="K531" s="28"/>
      <c r="L531" s="28"/>
      <c r="M531" s="16"/>
      <c r="N531" s="28"/>
      <c r="O531" s="28"/>
      <c r="P531" s="16"/>
      <c r="Q531" s="32"/>
      <c r="R531" s="32"/>
      <c r="S531" s="24"/>
      <c r="T531" s="24"/>
      <c r="U531" s="17"/>
      <c r="V531" s="20"/>
      <c r="W531" s="20"/>
      <c r="X531" s="17"/>
      <c r="Y531" s="17"/>
      <c r="Z531" s="20"/>
      <c r="AA531" s="20"/>
    </row>
  </sheetData>
  <autoFilter ref="A1:AA8" xr:uid="{9CF2A594-65FE-4482-A5F8-EE707EB2AC1A}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4B5FCC-EFB7-4A8F-AF8D-C5B4772C875E}">
  <dimension ref="A1:AA4"/>
  <sheetViews>
    <sheetView workbookViewId="0">
      <selection activeCell="A2" sqref="A2:XFD2"/>
    </sheetView>
  </sheetViews>
  <sheetFormatPr defaultRowHeight="15" x14ac:dyDescent="0.25"/>
  <sheetData>
    <row r="1" spans="1:27" x14ac:dyDescent="0.25">
      <c r="A1" t="s">
        <v>212</v>
      </c>
    </row>
    <row r="2" spans="1:27" x14ac:dyDescent="0.25">
      <c r="A2" s="8" t="s">
        <v>31</v>
      </c>
      <c r="B2" s="9" t="s">
        <v>34</v>
      </c>
      <c r="C2" s="26" t="s">
        <v>39</v>
      </c>
      <c r="D2" s="26" t="s">
        <v>40</v>
      </c>
      <c r="E2" s="26" t="s">
        <v>41</v>
      </c>
      <c r="F2" s="26" t="s">
        <v>42</v>
      </c>
      <c r="G2" s="26" t="s">
        <v>43</v>
      </c>
      <c r="H2" s="33" t="s">
        <v>44</v>
      </c>
      <c r="I2" s="33" t="s">
        <v>45</v>
      </c>
      <c r="J2" s="26" t="s">
        <v>46</v>
      </c>
      <c r="K2" s="26" t="s">
        <v>47</v>
      </c>
      <c r="L2" s="26" t="s">
        <v>48</v>
      </c>
      <c r="M2" s="7" t="s">
        <v>49</v>
      </c>
      <c r="N2" s="26" t="s">
        <v>50</v>
      </c>
      <c r="O2" s="26" t="s">
        <v>51</v>
      </c>
      <c r="P2" s="7" t="s">
        <v>52</v>
      </c>
      <c r="Q2" s="30" t="s">
        <v>53</v>
      </c>
      <c r="R2" s="30" t="s">
        <v>54</v>
      </c>
      <c r="S2" s="22" t="s">
        <v>55</v>
      </c>
      <c r="T2" s="22" t="s">
        <v>56</v>
      </c>
      <c r="U2" s="10" t="s">
        <v>61</v>
      </c>
      <c r="V2" s="18" t="s">
        <v>62</v>
      </c>
      <c r="W2" s="18" t="s">
        <v>63</v>
      </c>
      <c r="X2" s="10" t="s">
        <v>64</v>
      </c>
      <c r="Y2" s="10" t="s">
        <v>65</v>
      </c>
      <c r="Z2" s="18" t="s">
        <v>68</v>
      </c>
      <c r="AA2" s="18" t="s">
        <v>57</v>
      </c>
    </row>
    <row r="3" spans="1:27" x14ac:dyDescent="0.25">
      <c r="A3" t="s">
        <v>211</v>
      </c>
    </row>
    <row r="4" spans="1:27" x14ac:dyDescent="0.25">
      <c r="A4" s="8" t="s">
        <v>31</v>
      </c>
      <c r="B4" s="9" t="s">
        <v>39</v>
      </c>
      <c r="C4" s="26" t="s">
        <v>41</v>
      </c>
      <c r="D4" s="26" t="s">
        <v>42</v>
      </c>
      <c r="E4" s="26" t="s">
        <v>43</v>
      </c>
      <c r="F4" s="26" t="s">
        <v>44</v>
      </c>
      <c r="G4" s="26" t="s">
        <v>45</v>
      </c>
      <c r="H4" s="33" t="s">
        <v>46</v>
      </c>
      <c r="I4" s="33" t="s">
        <v>47</v>
      </c>
      <c r="J4" s="26" t="s">
        <v>48</v>
      </c>
      <c r="K4" s="26" t="s">
        <v>49</v>
      </c>
      <c r="L4" s="26" t="s">
        <v>50</v>
      </c>
      <c r="M4" s="7" t="s">
        <v>51</v>
      </c>
      <c r="N4" s="26" t="s">
        <v>52</v>
      </c>
      <c r="O4" s="26" t="s">
        <v>53</v>
      </c>
      <c r="P4" s="7" t="s">
        <v>54</v>
      </c>
      <c r="Q4" s="30" t="s">
        <v>56</v>
      </c>
      <c r="R4" s="30" t="s">
        <v>61</v>
      </c>
      <c r="S4" s="22" t="s">
        <v>62</v>
      </c>
      <c r="T4" s="22" t="s">
        <v>63</v>
      </c>
      <c r="U4" s="10" t="s">
        <v>64</v>
      </c>
      <c r="V4" s="18" t="s">
        <v>65</v>
      </c>
      <c r="W4" s="18" t="s">
        <v>68</v>
      </c>
      <c r="X4" s="10" t="s">
        <v>57</v>
      </c>
      <c r="Y4" s="10" t="s">
        <v>65</v>
      </c>
      <c r="Z4" s="18" t="s">
        <v>68</v>
      </c>
      <c r="AA4" s="18" t="s">
        <v>57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56A87-E384-40B6-A5E1-2F291F968DB6}">
  <sheetPr codeName="Sheet8"/>
  <dimension ref="A1"/>
  <sheetViews>
    <sheetView workbookViewId="0">
      <selection activeCell="L16" sqref="L16"/>
    </sheetView>
  </sheetViews>
  <sheetFormatPr defaultRowHeight="15" x14ac:dyDescent="0.25"/>
  <sheetData>
    <row r="1" spans="1:1" x14ac:dyDescent="0.25">
      <c r="A1" t="s">
        <v>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EE0A7-D601-4A94-A811-61964372206D}">
  <sheetPr codeName="Sheet3"/>
  <dimension ref="A1:F1151"/>
  <sheetViews>
    <sheetView workbookViewId="0">
      <selection sqref="A1:F2"/>
    </sheetView>
  </sheetViews>
  <sheetFormatPr defaultRowHeight="15" x14ac:dyDescent="0.25"/>
  <cols>
    <col min="1" max="1" width="19.85546875" customWidth="1"/>
    <col min="2" max="2" width="16.7109375" customWidth="1"/>
    <col min="3" max="3" width="45.42578125" customWidth="1"/>
    <col min="4" max="4" width="16.5703125" customWidth="1"/>
    <col min="5" max="5" width="21.5703125" customWidth="1"/>
  </cols>
  <sheetData>
    <row r="1" spans="1:6" x14ac:dyDescent="0.25">
      <c r="A1" s="41" t="s">
        <v>31</v>
      </c>
      <c r="B1" s="7" t="s">
        <v>36</v>
      </c>
      <c r="C1" s="7" t="s">
        <v>37</v>
      </c>
      <c r="D1" s="7" t="s">
        <v>69</v>
      </c>
      <c r="E1" s="41" t="s">
        <v>70</v>
      </c>
      <c r="F1" s="45" t="s">
        <v>38</v>
      </c>
    </row>
    <row r="2" spans="1:6" x14ac:dyDescent="0.25">
      <c r="A2" s="46" t="s">
        <v>3</v>
      </c>
      <c r="B2" s="47">
        <v>45746.916666666664</v>
      </c>
      <c r="C2" s="16" t="s">
        <v>213</v>
      </c>
      <c r="D2" s="16" t="s">
        <v>122</v>
      </c>
      <c r="E2" s="16" t="s">
        <v>103</v>
      </c>
      <c r="F2" s="48" t="str">
        <f>HYPERLINK("https://finnhub.io/api/news?id=f9d9fec1ea9accda067308fdddb12e27d93b7f3451ee5ceeaf4042d4cf208a6f", "https://finnhub.io/api/news?id=f9d9fec1ea9accda067308fdddb12e27d93b7f3451ee5ceeaf4042d4cf208a6f")</f>
        <v>https://finnhub.io/api/news?id=f9d9fec1ea9accda067308fdddb12e27d93b7f3451ee5ceeaf4042d4cf208a6f</v>
      </c>
    </row>
    <row r="3" spans="1:6" x14ac:dyDescent="0.25">
      <c r="A3" s="37" t="s">
        <v>3</v>
      </c>
      <c r="B3" s="37">
        <v>45746.905555555553</v>
      </c>
      <c r="C3" t="s">
        <v>214</v>
      </c>
      <c r="D3" t="s">
        <v>105</v>
      </c>
      <c r="E3" t="s">
        <v>103</v>
      </c>
      <c r="F3" s="40" t="str">
        <f>HYPERLINK("https://finnhub.io/api/news?id=35765fc450fdc3b13c9662e07df1ae9c56cffb79c9c449bd884753876ee840e8", "https://finnhub.io/api/news?id=35765fc450fdc3b13c9662e07df1ae9c56cffb79c9c449bd884753876ee840e8")</f>
        <v>https://finnhub.io/api/news?id=35765fc450fdc3b13c9662e07df1ae9c56cffb79c9c449bd884753876ee840e8</v>
      </c>
    </row>
    <row r="4" spans="1:6" x14ac:dyDescent="0.25">
      <c r="A4" s="37" t="s">
        <v>3</v>
      </c>
      <c r="B4" s="37">
        <v>45746.791666666664</v>
      </c>
      <c r="C4" t="s">
        <v>101</v>
      </c>
      <c r="D4" t="s">
        <v>102</v>
      </c>
      <c r="E4" t="s">
        <v>103</v>
      </c>
      <c r="F4" s="40" t="str">
        <f>HYPERLINK("https://finnhub.io/api/news?id=8c4001a22a09b8cdea1b2f6c211f2b201bed64aed65e199bdf4eff4c1454aaba", "https://finnhub.io/api/news?id=8c4001a22a09b8cdea1b2f6c211f2b201bed64aed65e199bdf4eff4c1454aaba")</f>
        <v>https://finnhub.io/api/news?id=8c4001a22a09b8cdea1b2f6c211f2b201bed64aed65e199bdf4eff4c1454aaba</v>
      </c>
    </row>
    <row r="5" spans="1:6" x14ac:dyDescent="0.25">
      <c r="A5" s="37" t="s">
        <v>3</v>
      </c>
      <c r="B5" s="37">
        <v>45746.665972222225</v>
      </c>
      <c r="C5" t="s">
        <v>104</v>
      </c>
      <c r="D5" t="s">
        <v>105</v>
      </c>
      <c r="E5" t="s">
        <v>103</v>
      </c>
      <c r="F5" s="40" t="str">
        <f>HYPERLINK("https://finnhub.io/api/news?id=7fabeb2d5f09a79d98fb0ef469ca5af8e2016f4e1d8c90a44891feb9d145623e", "https://finnhub.io/api/news?id=7fabeb2d5f09a79d98fb0ef469ca5af8e2016f4e1d8c90a44891feb9d145623e")</f>
        <v>https://finnhub.io/api/news?id=7fabeb2d5f09a79d98fb0ef469ca5af8e2016f4e1d8c90a44891feb9d145623e</v>
      </c>
    </row>
    <row r="6" spans="1:6" x14ac:dyDescent="0.25">
      <c r="A6" s="37" t="s">
        <v>3</v>
      </c>
      <c r="B6" s="37">
        <v>45746.432638888888</v>
      </c>
      <c r="C6" s="38" t="s">
        <v>106</v>
      </c>
      <c r="D6" t="s">
        <v>102</v>
      </c>
      <c r="E6" t="s">
        <v>103</v>
      </c>
      <c r="F6" s="40" t="str">
        <f>HYPERLINK("https://finnhub.io/api/news?id=929e1ae2f801bbc15eda578dc6b5df1b18c5723d95ab42d1ab45c7104ea1fa0b", "https://finnhub.io/api/news?id=929e1ae2f801bbc15eda578dc6b5df1b18c5723d95ab42d1ab45c7104ea1fa0b")</f>
        <v>https://finnhub.io/api/news?id=929e1ae2f801bbc15eda578dc6b5df1b18c5723d95ab42d1ab45c7104ea1fa0b</v>
      </c>
    </row>
    <row r="7" spans="1:6" x14ac:dyDescent="0.25">
      <c r="A7" s="37" t="s">
        <v>3</v>
      </c>
      <c r="B7" s="37">
        <v>45746.411805555559</v>
      </c>
      <c r="C7" t="s">
        <v>107</v>
      </c>
      <c r="D7" t="s">
        <v>105</v>
      </c>
      <c r="E7" t="s">
        <v>103</v>
      </c>
      <c r="F7" s="40" t="str">
        <f>HYPERLINK("https://finnhub.io/api/news?id=50b9a411f7a265ada2bbeee225f8f3412941e50d75ebd9c66d22d02f3a3132dc", "https://finnhub.io/api/news?id=50b9a411f7a265ada2bbeee225f8f3412941e50d75ebd9c66d22d02f3a3132dc")</f>
        <v>https://finnhub.io/api/news?id=50b9a411f7a265ada2bbeee225f8f3412941e50d75ebd9c66d22d02f3a3132dc</v>
      </c>
    </row>
    <row r="8" spans="1:6" x14ac:dyDescent="0.25">
      <c r="A8" s="37" t="s">
        <v>3</v>
      </c>
      <c r="B8" s="37">
        <v>45746.333333333336</v>
      </c>
      <c r="C8" s="38" t="s">
        <v>108</v>
      </c>
      <c r="D8" t="s">
        <v>102</v>
      </c>
      <c r="E8" t="s">
        <v>103</v>
      </c>
      <c r="F8" s="40" t="str">
        <f>HYPERLINK("https://finnhub.io/api/news?id=75a9a6867f9257c9f8fae768364255230ead49e278c7c96fd703c19b0ac95557", "https://finnhub.io/api/news?id=75a9a6867f9257c9f8fae768364255230ead49e278c7c96fd703c19b0ac95557")</f>
        <v>https://finnhub.io/api/news?id=75a9a6867f9257c9f8fae768364255230ead49e278c7c96fd703c19b0ac95557</v>
      </c>
    </row>
    <row r="9" spans="1:6" x14ac:dyDescent="0.25">
      <c r="A9" s="37" t="s">
        <v>3</v>
      </c>
      <c r="B9" s="37">
        <v>45746.322916666664</v>
      </c>
      <c r="C9" t="s">
        <v>109</v>
      </c>
      <c r="D9" t="s">
        <v>102</v>
      </c>
      <c r="E9" t="s">
        <v>103</v>
      </c>
      <c r="F9" s="40" t="str">
        <f>HYPERLINK("https://finnhub.io/api/news?id=8a7415dc103454578c7f7ebd29127a8af832ed0b13eff6c638f90a2dec62aa46", "https://finnhub.io/api/news?id=8a7415dc103454578c7f7ebd29127a8af832ed0b13eff6c638f90a2dec62aa46")</f>
        <v>https://finnhub.io/api/news?id=8a7415dc103454578c7f7ebd29127a8af832ed0b13eff6c638f90a2dec62aa46</v>
      </c>
    </row>
    <row r="10" spans="1:6" x14ac:dyDescent="0.25">
      <c r="A10" s="37" t="s">
        <v>3</v>
      </c>
      <c r="B10" s="37">
        <v>45746.288888888892</v>
      </c>
      <c r="C10" t="s">
        <v>110</v>
      </c>
      <c r="D10" t="s">
        <v>102</v>
      </c>
      <c r="E10" t="s">
        <v>103</v>
      </c>
      <c r="F10" s="40" t="str">
        <f>HYPERLINK("https://finnhub.io/api/news?id=bfdb3daef160c40225e4e513725f0dac1fcd74457f499d48fa05f44dcb7eb78a", "https://finnhub.io/api/news?id=bfdb3daef160c40225e4e513725f0dac1fcd74457f499d48fa05f44dcb7eb78a")</f>
        <v>https://finnhub.io/api/news?id=bfdb3daef160c40225e4e513725f0dac1fcd74457f499d48fa05f44dcb7eb78a</v>
      </c>
    </row>
    <row r="11" spans="1:6" x14ac:dyDescent="0.25">
      <c r="A11" s="37" t="s">
        <v>3</v>
      </c>
      <c r="B11" s="37">
        <v>45746.1875</v>
      </c>
      <c r="C11" t="s">
        <v>111</v>
      </c>
      <c r="D11" t="s">
        <v>102</v>
      </c>
      <c r="E11" t="s">
        <v>103</v>
      </c>
      <c r="F11" s="40" t="str">
        <f>HYPERLINK("https://finnhub.io/api/news?id=80ac7e27f1b4e39bd3f028a6bcd21106fc5cb108a796a31f9aaa86db026f66e5", "https://finnhub.io/api/news?id=80ac7e27f1b4e39bd3f028a6bcd21106fc5cb108a796a31f9aaa86db026f66e5")</f>
        <v>https://finnhub.io/api/news?id=80ac7e27f1b4e39bd3f028a6bcd21106fc5cb108a796a31f9aaa86db026f66e5</v>
      </c>
    </row>
    <row r="12" spans="1:6" x14ac:dyDescent="0.25">
      <c r="A12" s="37" t="s">
        <v>3</v>
      </c>
      <c r="B12" s="37">
        <v>45746.152777777781</v>
      </c>
      <c r="C12" t="s">
        <v>112</v>
      </c>
      <c r="D12" t="s">
        <v>102</v>
      </c>
      <c r="E12" t="s">
        <v>103</v>
      </c>
      <c r="F12" s="40" t="str">
        <f>HYPERLINK("https://finnhub.io/api/news?id=8915379ecb7db43c828fc17bd77dbd2831531a32a6c9bd89f08a169aaac5e15c", "https://finnhub.io/api/news?id=8915379ecb7db43c828fc17bd77dbd2831531a32a6c9bd89f08a169aaac5e15c")</f>
        <v>https://finnhub.io/api/news?id=8915379ecb7db43c828fc17bd77dbd2831531a32a6c9bd89f08a169aaac5e15c</v>
      </c>
    </row>
    <row r="13" spans="1:6" x14ac:dyDescent="0.25">
      <c r="A13" s="37" t="s">
        <v>3</v>
      </c>
      <c r="B13" s="37">
        <v>45746.128472222219</v>
      </c>
      <c r="C13" t="s">
        <v>113</v>
      </c>
      <c r="D13" t="s">
        <v>105</v>
      </c>
      <c r="E13" t="s">
        <v>103</v>
      </c>
      <c r="F13" s="40" t="str">
        <f>HYPERLINK("https://finnhub.io/api/news?id=b1298edf659df144da17a0ecdc0111e12ea4b30833a709a0aeac8543cf3dd760", "https://finnhub.io/api/news?id=b1298edf659df144da17a0ecdc0111e12ea4b30833a709a0aeac8543cf3dd760")</f>
        <v>https://finnhub.io/api/news?id=b1298edf659df144da17a0ecdc0111e12ea4b30833a709a0aeac8543cf3dd760</v>
      </c>
    </row>
    <row r="14" spans="1:6" x14ac:dyDescent="0.25">
      <c r="A14" s="37" t="s">
        <v>3</v>
      </c>
      <c r="B14" s="37">
        <v>45746.107638888891</v>
      </c>
      <c r="C14" t="s">
        <v>114</v>
      </c>
      <c r="D14" t="s">
        <v>102</v>
      </c>
      <c r="E14" t="s">
        <v>103</v>
      </c>
      <c r="F14" s="40" t="str">
        <f>HYPERLINK("https://finnhub.io/api/news?id=5eaae58ad3ea1b674b38c3a3d1eda935ebef5a7ddd2e6fe1d718310e8e0030fa", "https://finnhub.io/api/news?id=5eaae58ad3ea1b674b38c3a3d1eda935ebef5a7ddd2e6fe1d718310e8e0030fa")</f>
        <v>https://finnhub.io/api/news?id=5eaae58ad3ea1b674b38c3a3d1eda935ebef5a7ddd2e6fe1d718310e8e0030fa</v>
      </c>
    </row>
    <row r="15" spans="1:6" x14ac:dyDescent="0.25">
      <c r="A15" s="37" t="s">
        <v>3</v>
      </c>
      <c r="B15" s="37">
        <v>45746.097222222219</v>
      </c>
      <c r="C15" t="s">
        <v>115</v>
      </c>
      <c r="D15" t="s">
        <v>102</v>
      </c>
      <c r="E15" t="s">
        <v>103</v>
      </c>
      <c r="F15" s="40" t="str">
        <f>HYPERLINK("https://finnhub.io/api/news?id=752161dda5d5a3c74ef48049e015e4853306b38cb7c0ec5d4885944ad5756c4b", "https://finnhub.io/api/news?id=752161dda5d5a3c74ef48049e015e4853306b38cb7c0ec5d4885944ad5756c4b")</f>
        <v>https://finnhub.io/api/news?id=752161dda5d5a3c74ef48049e015e4853306b38cb7c0ec5d4885944ad5756c4b</v>
      </c>
    </row>
    <row r="16" spans="1:6" x14ac:dyDescent="0.25">
      <c r="A16" s="37" t="s">
        <v>3</v>
      </c>
      <c r="B16" s="37">
        <v>45746.069444444445</v>
      </c>
      <c r="C16" t="s">
        <v>116</v>
      </c>
      <c r="D16" t="s">
        <v>102</v>
      </c>
      <c r="E16" t="s">
        <v>103</v>
      </c>
      <c r="F16" s="40" t="str">
        <f>HYPERLINK("https://finnhub.io/api/news?id=4575fb494f02f7d22ebdeea081235fc1fd34e0906aac3b853565fcdc2fb54976", "https://finnhub.io/api/news?id=4575fb494f02f7d22ebdeea081235fc1fd34e0906aac3b853565fcdc2fb54976")</f>
        <v>https://finnhub.io/api/news?id=4575fb494f02f7d22ebdeea081235fc1fd34e0906aac3b853565fcdc2fb54976</v>
      </c>
    </row>
    <row r="17" spans="1:6" x14ac:dyDescent="0.25">
      <c r="A17" s="37" t="s">
        <v>3</v>
      </c>
      <c r="B17" s="37">
        <v>45746.0625</v>
      </c>
      <c r="C17" t="s">
        <v>117</v>
      </c>
      <c r="D17" t="s">
        <v>105</v>
      </c>
      <c r="E17" t="s">
        <v>103</v>
      </c>
      <c r="F17" s="40" t="str">
        <f>HYPERLINK("https://finnhub.io/api/news?id=40b951941e458e22015936c31959475d83de05ccdb4101ac694014c360cd47ce", "https://finnhub.io/api/news?id=40b951941e458e22015936c31959475d83de05ccdb4101ac694014c360cd47ce")</f>
        <v>https://finnhub.io/api/news?id=40b951941e458e22015936c31959475d83de05ccdb4101ac694014c360cd47ce</v>
      </c>
    </row>
    <row r="18" spans="1:6" x14ac:dyDescent="0.25">
      <c r="A18" s="37" t="s">
        <v>3</v>
      </c>
      <c r="B18" s="37">
        <v>45745.750694444447</v>
      </c>
      <c r="C18" t="s">
        <v>118</v>
      </c>
      <c r="D18" t="s">
        <v>105</v>
      </c>
      <c r="E18" t="s">
        <v>103</v>
      </c>
      <c r="F18" s="40" t="str">
        <f>HYPERLINK("https://finnhub.io/api/news?id=6ac7e928c94672582571332fe5c9e3aa0500307e320d43491dca173cbe22b193", "https://finnhub.io/api/news?id=6ac7e928c94672582571332fe5c9e3aa0500307e320d43491dca173cbe22b193")</f>
        <v>https://finnhub.io/api/news?id=6ac7e928c94672582571332fe5c9e3aa0500307e320d43491dca173cbe22b193</v>
      </c>
    </row>
    <row r="19" spans="1:6" x14ac:dyDescent="0.25">
      <c r="A19" s="37" t="s">
        <v>3</v>
      </c>
      <c r="B19" s="37">
        <v>45745.720138888886</v>
      </c>
      <c r="C19" t="s">
        <v>119</v>
      </c>
      <c r="D19" t="s">
        <v>102</v>
      </c>
      <c r="E19" t="s">
        <v>103</v>
      </c>
      <c r="F19" s="40" t="str">
        <f>HYPERLINK("https://finnhub.io/api/news?id=f40342ad62fd3e64b40b8d45b61e0bf5484bf99faa7e7603aa4f774c8f12728f", "https://finnhub.io/api/news?id=f40342ad62fd3e64b40b8d45b61e0bf5484bf99faa7e7603aa4f774c8f12728f")</f>
        <v>https://finnhub.io/api/news?id=f40342ad62fd3e64b40b8d45b61e0bf5484bf99faa7e7603aa4f774c8f12728f</v>
      </c>
    </row>
    <row r="20" spans="1:6" x14ac:dyDescent="0.25">
      <c r="A20" s="37" t="s">
        <v>3</v>
      </c>
      <c r="B20" s="37">
        <v>45745.71875</v>
      </c>
      <c r="C20" t="s">
        <v>120</v>
      </c>
      <c r="D20" t="s">
        <v>102</v>
      </c>
      <c r="E20" t="s">
        <v>103</v>
      </c>
      <c r="F20" s="40" t="str">
        <f>HYPERLINK("https://finnhub.io/api/news?id=d501faee74ed963335c7c76bce646b904b10c281d11d767e2e044a26fd05b0e6", "https://finnhub.io/api/news?id=d501faee74ed963335c7c76bce646b904b10c281d11d767e2e044a26fd05b0e6")</f>
        <v>https://finnhub.io/api/news?id=d501faee74ed963335c7c76bce646b904b10c281d11d767e2e044a26fd05b0e6</v>
      </c>
    </row>
    <row r="21" spans="1:6" x14ac:dyDescent="0.25">
      <c r="A21" s="37" t="s">
        <v>3</v>
      </c>
      <c r="B21" s="37">
        <v>45745.70208333333</v>
      </c>
      <c r="C21" t="s">
        <v>121</v>
      </c>
      <c r="D21" t="s">
        <v>122</v>
      </c>
      <c r="E21" t="s">
        <v>103</v>
      </c>
      <c r="F21" s="40" t="str">
        <f>HYPERLINK("https://finnhub.io/api/news?id=2e04215e65d655465e2d22e6102e410f0200497c3cfa675d2e9f5b377c8b165b", "https://finnhub.io/api/news?id=2e04215e65d655465e2d22e6102e410f0200497c3cfa675d2e9f5b377c8b165b")</f>
        <v>https://finnhub.io/api/news?id=2e04215e65d655465e2d22e6102e410f0200497c3cfa675d2e9f5b377c8b165b</v>
      </c>
    </row>
    <row r="22" spans="1:6" x14ac:dyDescent="0.25">
      <c r="A22" s="37" t="s">
        <v>3</v>
      </c>
      <c r="B22" s="37">
        <v>45745.679166666669</v>
      </c>
      <c r="C22" t="s">
        <v>123</v>
      </c>
      <c r="D22" t="s">
        <v>102</v>
      </c>
      <c r="E22" t="s">
        <v>103</v>
      </c>
      <c r="F22" s="40" t="str">
        <f>HYPERLINK("https://finnhub.io/api/news?id=fa0800a80e1b3ec28101038357a285b7f59b1032e9aca5f6e0a62c4df087ee5c", "https://finnhub.io/api/news?id=fa0800a80e1b3ec28101038357a285b7f59b1032e9aca5f6e0a62c4df087ee5c")</f>
        <v>https://finnhub.io/api/news?id=fa0800a80e1b3ec28101038357a285b7f59b1032e9aca5f6e0a62c4df087ee5c</v>
      </c>
    </row>
    <row r="23" spans="1:6" x14ac:dyDescent="0.25">
      <c r="A23" s="37" t="s">
        <v>3</v>
      </c>
      <c r="B23" s="37">
        <v>45745.402083333334</v>
      </c>
      <c r="C23" t="s">
        <v>124</v>
      </c>
      <c r="D23" t="s">
        <v>105</v>
      </c>
      <c r="E23" t="s">
        <v>103</v>
      </c>
      <c r="F23" s="40" t="str">
        <f>HYPERLINK("https://finnhub.io/api/news?id=2af290f0e7bbababcf5a13a635739616b3f987510464f3b964cf55e76471990c", "https://finnhub.io/api/news?id=2af290f0e7bbababcf5a13a635739616b3f987510464f3b964cf55e76471990c")</f>
        <v>https://finnhub.io/api/news?id=2af290f0e7bbababcf5a13a635739616b3f987510464f3b964cf55e76471990c</v>
      </c>
    </row>
    <row r="24" spans="1:6" x14ac:dyDescent="0.25">
      <c r="A24" s="37" t="s">
        <v>3</v>
      </c>
      <c r="B24" s="37">
        <v>45745.34375</v>
      </c>
      <c r="C24" t="s">
        <v>125</v>
      </c>
      <c r="D24" t="s">
        <v>102</v>
      </c>
      <c r="E24" t="s">
        <v>103</v>
      </c>
      <c r="F24" s="40" t="str">
        <f>HYPERLINK("https://finnhub.io/api/news?id=3d2d9e20c316df9ae1f9b0d7f6d8e8cb0d7ed694eb16540c93c280bc99f2c79c", "https://finnhub.io/api/news?id=3d2d9e20c316df9ae1f9b0d7f6d8e8cb0d7ed694eb16540c93c280bc99f2c79c")</f>
        <v>https://finnhub.io/api/news?id=3d2d9e20c316df9ae1f9b0d7f6d8e8cb0d7ed694eb16540c93c280bc99f2c79c</v>
      </c>
    </row>
    <row r="25" spans="1:6" x14ac:dyDescent="0.25">
      <c r="A25" s="37" t="s">
        <v>3</v>
      </c>
      <c r="B25" s="37">
        <v>45745.322222222225</v>
      </c>
      <c r="C25" t="s">
        <v>126</v>
      </c>
      <c r="D25" t="s">
        <v>102</v>
      </c>
      <c r="E25" t="s">
        <v>103</v>
      </c>
      <c r="F25" s="40" t="str">
        <f>HYPERLINK("https://finnhub.io/api/news?id=0312e483e05e97fbd8c5cd8851e328277f5690f462ea06f47890b9af7b6cbb89", "https://finnhub.io/api/news?id=0312e483e05e97fbd8c5cd8851e328277f5690f462ea06f47890b9af7b6cbb89")</f>
        <v>https://finnhub.io/api/news?id=0312e483e05e97fbd8c5cd8851e328277f5690f462ea06f47890b9af7b6cbb89</v>
      </c>
    </row>
    <row r="26" spans="1:6" x14ac:dyDescent="0.25">
      <c r="A26" s="37" t="s">
        <v>3</v>
      </c>
      <c r="B26" s="37">
        <v>45745.260416666664</v>
      </c>
      <c r="C26" t="s">
        <v>127</v>
      </c>
      <c r="D26" t="s">
        <v>102</v>
      </c>
      <c r="E26" t="s">
        <v>103</v>
      </c>
      <c r="F26" s="40" t="str">
        <f>HYPERLINK("https://finnhub.io/api/news?id=56c90b5a3b3cf286d9d44525a0c0c3cee0f1bb745e6641ec95c81535169c0231", "https://finnhub.io/api/news?id=56c90b5a3b3cf286d9d44525a0c0c3cee0f1bb745e6641ec95c81535169c0231")</f>
        <v>https://finnhub.io/api/news?id=56c90b5a3b3cf286d9d44525a0c0c3cee0f1bb745e6641ec95c81535169c0231</v>
      </c>
    </row>
    <row r="27" spans="1:6" x14ac:dyDescent="0.25">
      <c r="A27" s="37" t="s">
        <v>3</v>
      </c>
      <c r="B27" s="37">
        <v>45745.227777777778</v>
      </c>
      <c r="C27" t="s">
        <v>128</v>
      </c>
      <c r="D27" t="s">
        <v>105</v>
      </c>
      <c r="E27" t="s">
        <v>103</v>
      </c>
      <c r="F27" s="40" t="str">
        <f>HYPERLINK("https://finnhub.io/api/news?id=15844a72087819132c3831dfdbcb5bb2bf51a2aee1985b6b0c960770cf9a27dc", "https://finnhub.io/api/news?id=15844a72087819132c3831dfdbcb5bb2bf51a2aee1985b6b0c960770cf9a27dc")</f>
        <v>https://finnhub.io/api/news?id=15844a72087819132c3831dfdbcb5bb2bf51a2aee1985b6b0c960770cf9a27dc</v>
      </c>
    </row>
    <row r="28" spans="1:6" x14ac:dyDescent="0.25">
      <c r="A28" s="37" t="s">
        <v>3</v>
      </c>
      <c r="B28" s="37">
        <v>45745.145138888889</v>
      </c>
      <c r="C28" t="s">
        <v>129</v>
      </c>
      <c r="D28" t="s">
        <v>130</v>
      </c>
      <c r="E28" t="s">
        <v>103</v>
      </c>
      <c r="F28" s="40" t="str">
        <f>HYPERLINK("https://finnhub.io/api/news?id=a541869c2dfc0169a125545df7fef505308bf1f8c1f0179c822e5914b4ae018b", "https://finnhub.io/api/news?id=a541869c2dfc0169a125545df7fef505308bf1f8c1f0179c822e5914b4ae018b")</f>
        <v>https://finnhub.io/api/news?id=a541869c2dfc0169a125545df7fef505308bf1f8c1f0179c822e5914b4ae018b</v>
      </c>
    </row>
    <row r="29" spans="1:6" x14ac:dyDescent="0.25">
      <c r="A29" s="37" t="s">
        <v>3</v>
      </c>
      <c r="B29" s="37">
        <v>45745.136805555558</v>
      </c>
      <c r="C29" t="s">
        <v>131</v>
      </c>
      <c r="D29" t="s">
        <v>102</v>
      </c>
      <c r="E29" t="s">
        <v>103</v>
      </c>
      <c r="F29" s="40" t="str">
        <f>HYPERLINK("https://finnhub.io/api/news?id=f558709d735030f066d520cd948ff085c31c4ab98000325062a7dd35f7555d6f", "https://finnhub.io/api/news?id=f558709d735030f066d520cd948ff085c31c4ab98000325062a7dd35f7555d6f")</f>
        <v>https://finnhub.io/api/news?id=f558709d735030f066d520cd948ff085c31c4ab98000325062a7dd35f7555d6f</v>
      </c>
    </row>
    <row r="30" spans="1:6" x14ac:dyDescent="0.25">
      <c r="A30" s="37" t="s">
        <v>3</v>
      </c>
      <c r="B30" s="37">
        <v>45745.136111111111</v>
      </c>
      <c r="C30" t="s">
        <v>132</v>
      </c>
      <c r="D30" t="s">
        <v>105</v>
      </c>
      <c r="E30" t="s">
        <v>103</v>
      </c>
      <c r="F30" s="40" t="str">
        <f>HYPERLINK("https://finnhub.io/api/news?id=cab4fc1f6ecf15e9f877c7e1cf429e582da4d6ab078f5486c75fb02fafe7e9b1", "https://finnhub.io/api/news?id=cab4fc1f6ecf15e9f877c7e1cf429e582da4d6ab078f5486c75fb02fafe7e9b1")</f>
        <v>https://finnhub.io/api/news?id=cab4fc1f6ecf15e9f877c7e1cf429e582da4d6ab078f5486c75fb02fafe7e9b1</v>
      </c>
    </row>
    <row r="31" spans="1:6" x14ac:dyDescent="0.25">
      <c r="A31" s="37" t="s">
        <v>3</v>
      </c>
      <c r="B31" s="37">
        <v>45745.111805555556</v>
      </c>
      <c r="C31" t="s">
        <v>133</v>
      </c>
      <c r="D31" t="s">
        <v>102</v>
      </c>
      <c r="E31" t="s">
        <v>103</v>
      </c>
      <c r="F31" s="40" t="str">
        <f>HYPERLINK("https://finnhub.io/api/news?id=6bc297965d7f79905b781785a739cda1914fafb19f784c87777b4f0cdb83ac47", "https://finnhub.io/api/news?id=6bc297965d7f79905b781785a739cda1914fafb19f784c87777b4f0cdb83ac47")</f>
        <v>https://finnhub.io/api/news?id=6bc297965d7f79905b781785a739cda1914fafb19f784c87777b4f0cdb83ac47</v>
      </c>
    </row>
    <row r="32" spans="1:6" x14ac:dyDescent="0.25">
      <c r="A32" s="37" t="s">
        <v>3</v>
      </c>
      <c r="B32" s="37">
        <v>45745.086805555555</v>
      </c>
      <c r="C32" t="s">
        <v>134</v>
      </c>
      <c r="D32" t="s">
        <v>105</v>
      </c>
      <c r="E32" t="s">
        <v>103</v>
      </c>
      <c r="F32" s="40" t="str">
        <f>HYPERLINK("https://finnhub.io/api/news?id=aa17be467c6a9258658c6b09698dc249e7416029c4bc3e2e83f005f40d352988", "https://finnhub.io/api/news?id=aa17be467c6a9258658c6b09698dc249e7416029c4bc3e2e83f005f40d352988")</f>
        <v>https://finnhub.io/api/news?id=aa17be467c6a9258658c6b09698dc249e7416029c4bc3e2e83f005f40d352988</v>
      </c>
    </row>
    <row r="33" spans="1:6" x14ac:dyDescent="0.25">
      <c r="A33" s="37" t="s">
        <v>3</v>
      </c>
      <c r="B33" s="37">
        <v>45744.841666666667</v>
      </c>
      <c r="C33" t="s">
        <v>135</v>
      </c>
      <c r="D33" t="s">
        <v>105</v>
      </c>
      <c r="E33" t="s">
        <v>103</v>
      </c>
      <c r="F33" s="40" t="str">
        <f>HYPERLINK("https://finnhub.io/api/news?id=43837fa815f33a08fe0a4487fd0cc46d8687edf7f630f9ba66fdb16dae375967", "https://finnhub.io/api/news?id=43837fa815f33a08fe0a4487fd0cc46d8687edf7f630f9ba66fdb16dae375967")</f>
        <v>https://finnhub.io/api/news?id=43837fa815f33a08fe0a4487fd0cc46d8687edf7f630f9ba66fdb16dae375967</v>
      </c>
    </row>
    <row r="34" spans="1:6" x14ac:dyDescent="0.25">
      <c r="A34" s="37" t="s">
        <v>3</v>
      </c>
      <c r="B34" s="37">
        <v>45744.697222222225</v>
      </c>
      <c r="C34" t="s">
        <v>136</v>
      </c>
      <c r="D34" t="s">
        <v>102</v>
      </c>
      <c r="E34" t="s">
        <v>103</v>
      </c>
      <c r="F34" s="40" t="str">
        <f>HYPERLINK("https://finnhub.io/api/news?id=aa44d333897fb24e651de3aa815e96e7bd73d860f2bdf799e844c01a4fc79c39", "https://finnhub.io/api/news?id=aa44d333897fb24e651de3aa815e96e7bd73d860f2bdf799e844c01a4fc79c39")</f>
        <v>https://finnhub.io/api/news?id=aa44d333897fb24e651de3aa815e96e7bd73d860f2bdf799e844c01a4fc79c39</v>
      </c>
    </row>
    <row r="35" spans="1:6" x14ac:dyDescent="0.25">
      <c r="A35" s="37" t="s">
        <v>3</v>
      </c>
      <c r="B35" s="37">
        <v>45744.561111111114</v>
      </c>
      <c r="C35" t="s">
        <v>137</v>
      </c>
      <c r="D35" t="s">
        <v>102</v>
      </c>
      <c r="E35" t="s">
        <v>103</v>
      </c>
      <c r="F35" s="40" t="str">
        <f>HYPERLINK("https://finnhub.io/api/news?id=c32b2fbacb2221731949b4946d4dbcd933555e1691d928d9424480cb8c746011", "https://finnhub.io/api/news?id=c32b2fbacb2221731949b4946d4dbcd933555e1691d928d9424480cb8c746011")</f>
        <v>https://finnhub.io/api/news?id=c32b2fbacb2221731949b4946d4dbcd933555e1691d928d9424480cb8c746011</v>
      </c>
    </row>
    <row r="36" spans="1:6" x14ac:dyDescent="0.25">
      <c r="A36" s="37" t="s">
        <v>3</v>
      </c>
      <c r="B36" s="37">
        <v>45744.550694444442</v>
      </c>
      <c r="C36" t="s">
        <v>138</v>
      </c>
      <c r="D36" t="s">
        <v>130</v>
      </c>
      <c r="E36" t="s">
        <v>103</v>
      </c>
      <c r="F36" s="40" t="str">
        <f>HYPERLINK("https://finnhub.io/api/news?id=ef71e7c5fc5bc4736348d30440fc103fd2268c5a873cdab2204ffbb87033462c", "https://finnhub.io/api/news?id=ef71e7c5fc5bc4736348d30440fc103fd2268c5a873cdab2204ffbb87033462c")</f>
        <v>https://finnhub.io/api/news?id=ef71e7c5fc5bc4736348d30440fc103fd2268c5a873cdab2204ffbb87033462c</v>
      </c>
    </row>
    <row r="37" spans="1:6" x14ac:dyDescent="0.25">
      <c r="A37" s="37" t="s">
        <v>3</v>
      </c>
      <c r="B37" s="37">
        <v>45744.470833333333</v>
      </c>
      <c r="C37" t="s">
        <v>139</v>
      </c>
      <c r="D37" t="s">
        <v>102</v>
      </c>
      <c r="E37" t="s">
        <v>103</v>
      </c>
      <c r="F37" s="40" t="str">
        <f>HYPERLINK("https://finnhub.io/api/news?id=d488bb3b624b862fc2462447741eb4d7ab9bbd91cf3b9b8af3d000c1c90a5131", "https://finnhub.io/api/news?id=d488bb3b624b862fc2462447741eb4d7ab9bbd91cf3b9b8af3d000c1c90a5131")</f>
        <v>https://finnhub.io/api/news?id=d488bb3b624b862fc2462447741eb4d7ab9bbd91cf3b9b8af3d000c1c90a5131</v>
      </c>
    </row>
    <row r="38" spans="1:6" x14ac:dyDescent="0.25">
      <c r="A38" s="37" t="s">
        <v>3</v>
      </c>
      <c r="B38" s="37">
        <v>45744.438888888886</v>
      </c>
      <c r="C38" t="s">
        <v>140</v>
      </c>
      <c r="D38" t="s">
        <v>102</v>
      </c>
      <c r="E38" t="s">
        <v>103</v>
      </c>
      <c r="F38" s="40" t="str">
        <f>HYPERLINK("https://finnhub.io/api/news?id=31f66603d0b6645f21aeabfb9bd96af4d4db7a5d153f5875c08d635fe8c17360", "https://finnhub.io/api/news?id=31f66603d0b6645f21aeabfb9bd96af4d4db7a5d153f5875c08d635fe8c17360")</f>
        <v>https://finnhub.io/api/news?id=31f66603d0b6645f21aeabfb9bd96af4d4db7a5d153f5875c08d635fe8c17360</v>
      </c>
    </row>
    <row r="39" spans="1:6" x14ac:dyDescent="0.25">
      <c r="A39" s="37" t="s">
        <v>3</v>
      </c>
      <c r="B39" s="37">
        <v>45744.426388888889</v>
      </c>
      <c r="C39" t="s">
        <v>141</v>
      </c>
      <c r="D39" t="s">
        <v>102</v>
      </c>
      <c r="E39" t="s">
        <v>103</v>
      </c>
      <c r="F39" s="40" t="str">
        <f>HYPERLINK("https://finnhub.io/api/news?id=aa12e229003c418a6bdf9adce4c7742407494cc295fe1fed6bf491febfa1570b", "https://finnhub.io/api/news?id=aa12e229003c418a6bdf9adce4c7742407494cc295fe1fed6bf491febfa1570b")</f>
        <v>https://finnhub.io/api/news?id=aa12e229003c418a6bdf9adce4c7742407494cc295fe1fed6bf491febfa1570b</v>
      </c>
    </row>
    <row r="40" spans="1:6" x14ac:dyDescent="0.25">
      <c r="A40" s="37" t="s">
        <v>3</v>
      </c>
      <c r="B40" s="37">
        <v>45744.415972222225</v>
      </c>
      <c r="C40" t="s">
        <v>142</v>
      </c>
      <c r="D40" t="s">
        <v>105</v>
      </c>
      <c r="E40" t="s">
        <v>103</v>
      </c>
      <c r="F40" s="40" t="str">
        <f>HYPERLINK("https://finnhub.io/api/news?id=4c3f058de763415545c12e29c82a84e80d15fec6c8a7b8e8dc6e8ce37e4d46c2", "https://finnhub.io/api/news?id=4c3f058de763415545c12e29c82a84e80d15fec6c8a7b8e8dc6e8ce37e4d46c2")</f>
        <v>https://finnhub.io/api/news?id=4c3f058de763415545c12e29c82a84e80d15fec6c8a7b8e8dc6e8ce37e4d46c2</v>
      </c>
    </row>
    <row r="41" spans="1:6" x14ac:dyDescent="0.25">
      <c r="A41" s="37" t="s">
        <v>3</v>
      </c>
      <c r="B41" s="37">
        <v>45744.399305555555</v>
      </c>
      <c r="C41" t="s">
        <v>143</v>
      </c>
      <c r="D41" t="s">
        <v>102</v>
      </c>
      <c r="E41" t="s">
        <v>103</v>
      </c>
      <c r="F41" s="40" t="str">
        <f>HYPERLINK("https://finnhub.io/api/news?id=326488da0babc5db4af514525099de05d7a2de182ce7f812f34e28e880129027", "https://finnhub.io/api/news?id=326488da0babc5db4af514525099de05d7a2de182ce7f812f34e28e880129027")</f>
        <v>https://finnhub.io/api/news?id=326488da0babc5db4af514525099de05d7a2de182ce7f812f34e28e880129027</v>
      </c>
    </row>
    <row r="42" spans="1:6" x14ac:dyDescent="0.25">
      <c r="A42" s="37" t="s">
        <v>3</v>
      </c>
      <c r="B42" s="37">
        <v>45744.369444444441</v>
      </c>
      <c r="C42" t="s">
        <v>144</v>
      </c>
      <c r="D42" t="s">
        <v>102</v>
      </c>
      <c r="E42" t="s">
        <v>103</v>
      </c>
      <c r="F42" s="40" t="str">
        <f>HYPERLINK("https://finnhub.io/api/news?id=6a3e8a899c9f20b73fcda876ff1642f33fdd276690ac446437470085e54e3b64", "https://finnhub.io/api/news?id=6a3e8a899c9f20b73fcda876ff1642f33fdd276690ac446437470085e54e3b64")</f>
        <v>https://finnhub.io/api/news?id=6a3e8a899c9f20b73fcda876ff1642f33fdd276690ac446437470085e54e3b64</v>
      </c>
    </row>
    <row r="43" spans="1:6" x14ac:dyDescent="0.25">
      <c r="A43" s="37" t="s">
        <v>3</v>
      </c>
      <c r="B43" s="37">
        <v>45744.318055555559</v>
      </c>
      <c r="C43" t="s">
        <v>145</v>
      </c>
      <c r="D43" t="s">
        <v>102</v>
      </c>
      <c r="E43" t="s">
        <v>103</v>
      </c>
      <c r="F43" s="40" t="str">
        <f>HYPERLINK("https://finnhub.io/api/news?id=4213e768ffce5f939d073dbec015d6c938c41d7fc1de90219f48ad3fc3f6be8e", "https://finnhub.io/api/news?id=4213e768ffce5f939d073dbec015d6c938c41d7fc1de90219f48ad3fc3f6be8e")</f>
        <v>https://finnhub.io/api/news?id=4213e768ffce5f939d073dbec015d6c938c41d7fc1de90219f48ad3fc3f6be8e</v>
      </c>
    </row>
    <row r="44" spans="1:6" x14ac:dyDescent="0.25">
      <c r="A44" s="37" t="s">
        <v>3</v>
      </c>
      <c r="B44" s="37">
        <v>45744.304861111108</v>
      </c>
      <c r="C44" t="s">
        <v>146</v>
      </c>
      <c r="D44" t="s">
        <v>102</v>
      </c>
      <c r="E44" t="s">
        <v>103</v>
      </c>
      <c r="F44" s="40" t="str">
        <f>HYPERLINK("https://finnhub.io/api/news?id=1c39b032955820fc88294d1494ceeb23724c80e972cb05a5ce9ec8fef86fd9e1", "https://finnhub.io/api/news?id=1c39b032955820fc88294d1494ceeb23724c80e972cb05a5ce9ec8fef86fd9e1")</f>
        <v>https://finnhub.io/api/news?id=1c39b032955820fc88294d1494ceeb23724c80e972cb05a5ce9ec8fef86fd9e1</v>
      </c>
    </row>
    <row r="45" spans="1:6" x14ac:dyDescent="0.25">
      <c r="A45" s="37" t="s">
        <v>3</v>
      </c>
      <c r="B45" s="37">
        <v>45744.254861111112</v>
      </c>
      <c r="C45" t="s">
        <v>147</v>
      </c>
      <c r="D45" t="s">
        <v>102</v>
      </c>
      <c r="E45" t="s">
        <v>103</v>
      </c>
      <c r="F45" s="40" t="str">
        <f>HYPERLINK("https://finnhub.io/api/news?id=04455e18e47682ffa3065efc0c1573ce609cd90e84e4e60eaa8ba7c39855c251", "https://finnhub.io/api/news?id=04455e18e47682ffa3065efc0c1573ce609cd90e84e4e60eaa8ba7c39855c251")</f>
        <v>https://finnhub.io/api/news?id=04455e18e47682ffa3065efc0c1573ce609cd90e84e4e60eaa8ba7c39855c251</v>
      </c>
    </row>
    <row r="46" spans="1:6" x14ac:dyDescent="0.25">
      <c r="A46" s="37" t="s">
        <v>3</v>
      </c>
      <c r="B46" s="37">
        <v>45744.236805555556</v>
      </c>
      <c r="C46" t="s">
        <v>148</v>
      </c>
      <c r="D46" t="s">
        <v>102</v>
      </c>
      <c r="E46" t="s">
        <v>103</v>
      </c>
      <c r="F46" s="40" t="str">
        <f>HYPERLINK("https://finnhub.io/api/news?id=74a086ecd323395b4b4b4c9e79f34c4ab3e6c5e16a2763e0f613e5bf907993ce", "https://finnhub.io/api/news?id=74a086ecd323395b4b4b4c9e79f34c4ab3e6c5e16a2763e0f613e5bf907993ce")</f>
        <v>https://finnhub.io/api/news?id=74a086ecd323395b4b4b4c9e79f34c4ab3e6c5e16a2763e0f613e5bf907993ce</v>
      </c>
    </row>
    <row r="47" spans="1:6" x14ac:dyDescent="0.25">
      <c r="A47" s="37" t="s">
        <v>3</v>
      </c>
      <c r="B47" s="37">
        <v>45744.229166666664</v>
      </c>
      <c r="C47" t="s">
        <v>149</v>
      </c>
      <c r="D47" t="s">
        <v>102</v>
      </c>
      <c r="E47" t="s">
        <v>103</v>
      </c>
      <c r="F47" s="40" t="str">
        <f>HYPERLINK("https://finnhub.io/api/news?id=54d1f0621154c291ddb5cb7279974f9ffbdf3f9d61c5610dbaf0c6c52f5baa8e", "https://finnhub.io/api/news?id=54d1f0621154c291ddb5cb7279974f9ffbdf3f9d61c5610dbaf0c6c52f5baa8e")</f>
        <v>https://finnhub.io/api/news?id=54d1f0621154c291ddb5cb7279974f9ffbdf3f9d61c5610dbaf0c6c52f5baa8e</v>
      </c>
    </row>
    <row r="48" spans="1:6" x14ac:dyDescent="0.25">
      <c r="A48" s="37" t="s">
        <v>3</v>
      </c>
      <c r="B48" s="37">
        <v>45744.229166666664</v>
      </c>
      <c r="C48" t="s">
        <v>150</v>
      </c>
      <c r="D48" t="s">
        <v>102</v>
      </c>
      <c r="E48" t="s">
        <v>103</v>
      </c>
      <c r="F48" s="40" t="str">
        <f>HYPERLINK("https://finnhub.io/api/news?id=fc2c81c11e60b3a2badc45a74b4952e2513deb7a32d89c76675a91b9ef3d7043", "https://finnhub.io/api/news?id=fc2c81c11e60b3a2badc45a74b4952e2513deb7a32d89c76675a91b9ef3d7043")</f>
        <v>https://finnhub.io/api/news?id=fc2c81c11e60b3a2badc45a74b4952e2513deb7a32d89c76675a91b9ef3d7043</v>
      </c>
    </row>
    <row r="49" spans="1:6" x14ac:dyDescent="0.25">
      <c r="A49" s="37" t="s">
        <v>3</v>
      </c>
      <c r="B49" s="37">
        <v>45744.208333333336</v>
      </c>
      <c r="C49" t="s">
        <v>151</v>
      </c>
      <c r="D49" t="s">
        <v>102</v>
      </c>
      <c r="E49" t="s">
        <v>103</v>
      </c>
      <c r="F49" s="40" t="str">
        <f>HYPERLINK("https://finnhub.io/api/news?id=92356bad9766330e2c0d6eeef8f3c6952d5c735268ea56e48b44e4797cec4910", "https://finnhub.io/api/news?id=92356bad9766330e2c0d6eeef8f3c6952d5c735268ea56e48b44e4797cec4910")</f>
        <v>https://finnhub.io/api/news?id=92356bad9766330e2c0d6eeef8f3c6952d5c735268ea56e48b44e4797cec4910</v>
      </c>
    </row>
    <row r="50" spans="1:6" x14ac:dyDescent="0.25">
      <c r="A50" s="37" t="s">
        <v>3</v>
      </c>
      <c r="B50" s="37">
        <v>45744.151388888888</v>
      </c>
      <c r="C50" t="s">
        <v>152</v>
      </c>
      <c r="D50" t="s">
        <v>105</v>
      </c>
      <c r="E50" t="s">
        <v>103</v>
      </c>
      <c r="F50" s="40" t="str">
        <f>HYPERLINK("https://finnhub.io/api/news?id=e755f959211d3f69daa2f3257962813e76f21a1fe5e234eda685b267104bb140", "https://finnhub.io/api/news?id=e755f959211d3f69daa2f3257962813e76f21a1fe5e234eda685b267104bb140")</f>
        <v>https://finnhub.io/api/news?id=e755f959211d3f69daa2f3257962813e76f21a1fe5e234eda685b267104bb140</v>
      </c>
    </row>
    <row r="51" spans="1:6" x14ac:dyDescent="0.25">
      <c r="A51" s="37" t="s">
        <v>3</v>
      </c>
      <c r="B51" s="37">
        <v>45744.041666666664</v>
      </c>
      <c r="C51" t="s">
        <v>153</v>
      </c>
      <c r="D51" t="s">
        <v>102</v>
      </c>
      <c r="E51" t="s">
        <v>103</v>
      </c>
      <c r="F51" s="40" t="str">
        <f>HYPERLINK("https://finnhub.io/api/news?id=0cda0fe2b7e460e42251621cfe2b911a43d9f6e11ed51c3c49d899034d5437b9", "https://finnhub.io/api/news?id=0cda0fe2b7e460e42251621cfe2b911a43d9f6e11ed51c3c49d899034d5437b9")</f>
        <v>https://finnhub.io/api/news?id=0cda0fe2b7e460e42251621cfe2b911a43d9f6e11ed51c3c49d899034d5437b9</v>
      </c>
    </row>
    <row r="52" spans="1:6" x14ac:dyDescent="0.25">
      <c r="A52" s="37" t="s">
        <v>3</v>
      </c>
      <c r="B52" s="37">
        <v>45744.018055555556</v>
      </c>
      <c r="C52" t="s">
        <v>154</v>
      </c>
      <c r="D52" t="s">
        <v>102</v>
      </c>
      <c r="E52" t="s">
        <v>103</v>
      </c>
      <c r="F52" s="40" t="str">
        <f>HYPERLINK("https://finnhub.io/api/news?id=d7e6a397f5293f1326308a8830bd3c07267b9d32b859c8855c7e59255cbb7115", "https://finnhub.io/api/news?id=d7e6a397f5293f1326308a8830bd3c07267b9d32b859c8855c7e59255cbb7115")</f>
        <v>https://finnhub.io/api/news?id=d7e6a397f5293f1326308a8830bd3c07267b9d32b859c8855c7e59255cbb7115</v>
      </c>
    </row>
    <row r="53" spans="1:6" x14ac:dyDescent="0.25">
      <c r="A53" s="37" t="s">
        <v>98</v>
      </c>
      <c r="B53" s="37">
        <v>45746.834027777775</v>
      </c>
      <c r="C53" t="s">
        <v>155</v>
      </c>
      <c r="D53" t="s">
        <v>105</v>
      </c>
      <c r="E53" t="s">
        <v>103</v>
      </c>
      <c r="F53" s="40" t="str">
        <f>HYPERLINK("https://finnhub.io/api/news?id=43b1c9ae1327d9568817081c956ff1b25da7452bb04c0decb566acb1864ea89b", "https://finnhub.io/api/news?id=43b1c9ae1327d9568817081c956ff1b25da7452bb04c0decb566acb1864ea89b")</f>
        <v>https://finnhub.io/api/news?id=43b1c9ae1327d9568817081c956ff1b25da7452bb04c0decb566acb1864ea89b</v>
      </c>
    </row>
    <row r="54" spans="1:6" x14ac:dyDescent="0.25">
      <c r="A54" s="37" t="s">
        <v>98</v>
      </c>
      <c r="B54" s="37">
        <v>45746.623611111114</v>
      </c>
      <c r="C54" t="s">
        <v>156</v>
      </c>
      <c r="D54" t="s">
        <v>102</v>
      </c>
      <c r="E54" t="s">
        <v>103</v>
      </c>
      <c r="F54" s="40" t="str">
        <f>HYPERLINK("https://finnhub.io/api/news?id=942dbe1163d4716a42b0e1f6aa181411fea2b08f36406fdb8ab7d316debd0f91", "https://finnhub.io/api/news?id=942dbe1163d4716a42b0e1f6aa181411fea2b08f36406fdb8ab7d316debd0f91")</f>
        <v>https://finnhub.io/api/news?id=942dbe1163d4716a42b0e1f6aa181411fea2b08f36406fdb8ab7d316debd0f91</v>
      </c>
    </row>
    <row r="55" spans="1:6" x14ac:dyDescent="0.25">
      <c r="A55" s="37" t="s">
        <v>98</v>
      </c>
      <c r="B55" s="37">
        <v>45746.458333333336</v>
      </c>
      <c r="C55" s="38" t="s">
        <v>157</v>
      </c>
      <c r="D55" t="s">
        <v>105</v>
      </c>
      <c r="E55" t="s">
        <v>103</v>
      </c>
      <c r="F55" s="40" t="str">
        <f>HYPERLINK("https://finnhub.io/api/news?id=887a186017cfc207cd0a9c1f1626c13fc9a82c37d2a079af3991844f2936898d", "https://finnhub.io/api/news?id=887a186017cfc207cd0a9c1f1626c13fc9a82c37d2a079af3991844f2936898d")</f>
        <v>https://finnhub.io/api/news?id=887a186017cfc207cd0a9c1f1626c13fc9a82c37d2a079af3991844f2936898d</v>
      </c>
    </row>
    <row r="56" spans="1:6" x14ac:dyDescent="0.25">
      <c r="A56" s="37" t="s">
        <v>98</v>
      </c>
      <c r="B56" s="37">
        <v>45746.429861111108</v>
      </c>
      <c r="C56" t="s">
        <v>158</v>
      </c>
      <c r="D56" t="s">
        <v>102</v>
      </c>
      <c r="E56" t="s">
        <v>103</v>
      </c>
      <c r="F56" s="40" t="str">
        <f>HYPERLINK("https://finnhub.io/api/news?id=2fe98ee7038d3d8e386c2f0bb8c990be9d9c0ee8adcbdecfcc6a0bd46b2d2f68", "https://finnhub.io/api/news?id=2fe98ee7038d3d8e386c2f0bb8c990be9d9c0ee8adcbdecfcc6a0bd46b2d2f68")</f>
        <v>https://finnhub.io/api/news?id=2fe98ee7038d3d8e386c2f0bb8c990be9d9c0ee8adcbdecfcc6a0bd46b2d2f68</v>
      </c>
    </row>
    <row r="57" spans="1:6" x14ac:dyDescent="0.25">
      <c r="A57" s="37" t="s">
        <v>98</v>
      </c>
      <c r="B57" s="37">
        <v>45746.333333333336</v>
      </c>
      <c r="C57" s="38" t="s">
        <v>108</v>
      </c>
      <c r="D57" t="s">
        <v>102</v>
      </c>
      <c r="E57" t="s">
        <v>103</v>
      </c>
      <c r="F57" s="40" t="str">
        <f>HYPERLINK("https://finnhub.io/api/news?id=75a9a6867f9257c9f8fae768364255230ead49e278c7c96fd703c19b0ac95557", "https://finnhub.io/api/news?id=75a9a6867f9257c9f8fae768364255230ead49e278c7c96fd703c19b0ac95557")</f>
        <v>https://finnhub.io/api/news?id=75a9a6867f9257c9f8fae768364255230ead49e278c7c96fd703c19b0ac95557</v>
      </c>
    </row>
    <row r="58" spans="1:6" x14ac:dyDescent="0.25">
      <c r="A58" s="37" t="s">
        <v>98</v>
      </c>
      <c r="B58" s="37">
        <v>45746.3125</v>
      </c>
      <c r="C58" t="s">
        <v>159</v>
      </c>
      <c r="D58" t="s">
        <v>102</v>
      </c>
      <c r="E58" t="s">
        <v>103</v>
      </c>
      <c r="F58" s="40" t="str">
        <f>HYPERLINK("https://finnhub.io/api/news?id=542345166b42db47fc5f898d617f3f07e5085fbc9766574e77c3f83818226cc3", "https://finnhub.io/api/news?id=542345166b42db47fc5f898d617f3f07e5085fbc9766574e77c3f83818226cc3")</f>
        <v>https://finnhub.io/api/news?id=542345166b42db47fc5f898d617f3f07e5085fbc9766574e77c3f83818226cc3</v>
      </c>
    </row>
    <row r="59" spans="1:6" x14ac:dyDescent="0.25">
      <c r="A59" s="37" t="s">
        <v>98</v>
      </c>
      <c r="B59" s="37">
        <v>45746.276388888888</v>
      </c>
      <c r="C59" t="s">
        <v>160</v>
      </c>
      <c r="D59" t="s">
        <v>102</v>
      </c>
      <c r="E59" t="s">
        <v>103</v>
      </c>
      <c r="F59" s="40" t="str">
        <f>HYPERLINK("https://finnhub.io/api/news?id=5f1f5f1f5b3d1e0bff57eedd56cc2b95386bef0dc9ef1fd9dba636f6e72a621c", "https://finnhub.io/api/news?id=5f1f5f1f5b3d1e0bff57eedd56cc2b95386bef0dc9ef1fd9dba636f6e72a621c")</f>
        <v>https://finnhub.io/api/news?id=5f1f5f1f5b3d1e0bff57eedd56cc2b95386bef0dc9ef1fd9dba636f6e72a621c</v>
      </c>
    </row>
    <row r="60" spans="1:6" x14ac:dyDescent="0.25">
      <c r="A60" s="37" t="s">
        <v>98</v>
      </c>
      <c r="B60" s="37">
        <v>45746.145833333336</v>
      </c>
      <c r="C60" t="s">
        <v>161</v>
      </c>
      <c r="D60" t="s">
        <v>102</v>
      </c>
      <c r="E60" t="s">
        <v>103</v>
      </c>
      <c r="F60" s="40" t="str">
        <f>HYPERLINK("https://finnhub.io/api/news?id=79520f0c9b4a7c4f34dbb62a896c08a3679737d9b87ce93fc3036a87c13a3942", "https://finnhub.io/api/news?id=79520f0c9b4a7c4f34dbb62a896c08a3679737d9b87ce93fc3036a87c13a3942")</f>
        <v>https://finnhub.io/api/news?id=79520f0c9b4a7c4f34dbb62a896c08a3679737d9b87ce93fc3036a87c13a3942</v>
      </c>
    </row>
    <row r="61" spans="1:6" x14ac:dyDescent="0.25">
      <c r="A61" s="37" t="s">
        <v>98</v>
      </c>
      <c r="B61" s="37">
        <v>45746.128472222219</v>
      </c>
      <c r="C61" t="s">
        <v>113</v>
      </c>
      <c r="D61" t="s">
        <v>105</v>
      </c>
      <c r="E61" t="s">
        <v>103</v>
      </c>
      <c r="F61" s="40" t="str">
        <f>HYPERLINK("https://finnhub.io/api/news?id=b1298edf659df144da17a0ecdc0111e12ea4b30833a709a0aeac8543cf3dd760", "https://finnhub.io/api/news?id=b1298edf659df144da17a0ecdc0111e12ea4b30833a709a0aeac8543cf3dd760")</f>
        <v>https://finnhub.io/api/news?id=b1298edf659df144da17a0ecdc0111e12ea4b30833a709a0aeac8543cf3dd760</v>
      </c>
    </row>
    <row r="62" spans="1:6" x14ac:dyDescent="0.25">
      <c r="A62" s="37" t="s">
        <v>98</v>
      </c>
      <c r="B62" s="37">
        <v>45746.097222222219</v>
      </c>
      <c r="C62" t="s">
        <v>115</v>
      </c>
      <c r="D62" t="s">
        <v>102</v>
      </c>
      <c r="E62" t="s">
        <v>103</v>
      </c>
      <c r="F62" s="40" t="str">
        <f>HYPERLINK("https://finnhub.io/api/news?id=752161dda5d5a3c74ef48049e015e4853306b38cb7c0ec5d4885944ad5756c4b", "https://finnhub.io/api/news?id=752161dda5d5a3c74ef48049e015e4853306b38cb7c0ec5d4885944ad5756c4b")</f>
        <v>https://finnhub.io/api/news?id=752161dda5d5a3c74ef48049e015e4853306b38cb7c0ec5d4885944ad5756c4b</v>
      </c>
    </row>
    <row r="63" spans="1:6" x14ac:dyDescent="0.25">
      <c r="A63" s="37" t="s">
        <v>98</v>
      </c>
      <c r="B63" s="37">
        <v>45746.027777777781</v>
      </c>
      <c r="C63" t="s">
        <v>162</v>
      </c>
      <c r="D63" t="s">
        <v>105</v>
      </c>
      <c r="E63" t="s">
        <v>103</v>
      </c>
      <c r="F63" s="40" t="str">
        <f>HYPERLINK("https://finnhub.io/api/news?id=b062b88a415e17cc61f245970d7cb830adaa177609aef7bceb1690d5db981845", "https://finnhub.io/api/news?id=b062b88a415e17cc61f245970d7cb830adaa177609aef7bceb1690d5db981845")</f>
        <v>https://finnhub.io/api/news?id=b062b88a415e17cc61f245970d7cb830adaa177609aef7bceb1690d5db981845</v>
      </c>
    </row>
    <row r="64" spans="1:6" x14ac:dyDescent="0.25">
      <c r="A64" s="37" t="s">
        <v>98</v>
      </c>
      <c r="B64" s="37">
        <v>45745.71875</v>
      </c>
      <c r="C64" t="s">
        <v>163</v>
      </c>
      <c r="D64" t="s">
        <v>102</v>
      </c>
      <c r="E64" t="s">
        <v>103</v>
      </c>
      <c r="F64" s="40" t="str">
        <f>HYPERLINK("https://finnhub.io/api/news?id=f24f05ee8440958191351ee57e80ee895822cf414820fda49c5ef4fe726ab610", "https://finnhub.io/api/news?id=f24f05ee8440958191351ee57e80ee895822cf414820fda49c5ef4fe726ab610")</f>
        <v>https://finnhub.io/api/news?id=f24f05ee8440958191351ee57e80ee895822cf414820fda49c5ef4fe726ab610</v>
      </c>
    </row>
    <row r="65" spans="1:6" x14ac:dyDescent="0.25">
      <c r="A65" s="37" t="s">
        <v>98</v>
      </c>
      <c r="B65" s="37">
        <v>45745.335416666669</v>
      </c>
      <c r="C65" t="s">
        <v>164</v>
      </c>
      <c r="D65" t="s">
        <v>102</v>
      </c>
      <c r="E65" t="s">
        <v>103</v>
      </c>
      <c r="F65" s="40" t="str">
        <f>HYPERLINK("https://finnhub.io/api/news?id=d485e869737f5be76df99ac6258dab96b67a989f63df40b0482f7aedc1808e23", "https://finnhub.io/api/news?id=d485e869737f5be76df99ac6258dab96b67a989f63df40b0482f7aedc1808e23")</f>
        <v>https://finnhub.io/api/news?id=d485e869737f5be76df99ac6258dab96b67a989f63df40b0482f7aedc1808e23</v>
      </c>
    </row>
    <row r="66" spans="1:6" x14ac:dyDescent="0.25">
      <c r="A66" s="37" t="s">
        <v>98</v>
      </c>
      <c r="B66" s="37">
        <v>45745.28125</v>
      </c>
      <c r="C66" t="s">
        <v>165</v>
      </c>
      <c r="D66" t="s">
        <v>102</v>
      </c>
      <c r="E66" t="s">
        <v>103</v>
      </c>
      <c r="F66" s="40" t="str">
        <f>HYPERLINK("https://finnhub.io/api/news?id=bacfc83e4db8ddd1358d5556c1e1a8d5b0b74d593bd9701f7aa0ef4fdf11c611", "https://finnhub.io/api/news?id=bacfc83e4db8ddd1358d5556c1e1a8d5b0b74d593bd9701f7aa0ef4fdf11c611")</f>
        <v>https://finnhub.io/api/news?id=bacfc83e4db8ddd1358d5556c1e1a8d5b0b74d593bd9701f7aa0ef4fdf11c611</v>
      </c>
    </row>
    <row r="67" spans="1:6" x14ac:dyDescent="0.25">
      <c r="A67" s="37" t="s">
        <v>98</v>
      </c>
      <c r="B67" s="37">
        <v>45745.147916666669</v>
      </c>
      <c r="C67" t="s">
        <v>166</v>
      </c>
      <c r="D67" t="s">
        <v>105</v>
      </c>
      <c r="E67" t="s">
        <v>103</v>
      </c>
      <c r="F67" s="40" t="str">
        <f>HYPERLINK("https://finnhub.io/api/news?id=a02ebe418d9901a1a35d03d4212c4b43ac8f70a9dcb2d39b14e9674efcbd06b5", "https://finnhub.io/api/news?id=a02ebe418d9901a1a35d03d4212c4b43ac8f70a9dcb2d39b14e9674efcbd06b5")</f>
        <v>https://finnhub.io/api/news?id=a02ebe418d9901a1a35d03d4212c4b43ac8f70a9dcb2d39b14e9674efcbd06b5</v>
      </c>
    </row>
    <row r="68" spans="1:6" x14ac:dyDescent="0.25">
      <c r="A68" s="37" t="s">
        <v>98</v>
      </c>
      <c r="B68" s="37">
        <v>45745.111805555556</v>
      </c>
      <c r="C68" t="s">
        <v>133</v>
      </c>
      <c r="D68" t="s">
        <v>102</v>
      </c>
      <c r="E68" t="s">
        <v>103</v>
      </c>
      <c r="F68" s="40" t="str">
        <f>HYPERLINK("https://finnhub.io/api/news?id=6bc297965d7f79905b781785a739cda1914fafb19f784c87777b4f0cdb83ac47", "https://finnhub.io/api/news?id=6bc297965d7f79905b781785a739cda1914fafb19f784c87777b4f0cdb83ac47")</f>
        <v>https://finnhub.io/api/news?id=6bc297965d7f79905b781785a739cda1914fafb19f784c87777b4f0cdb83ac47</v>
      </c>
    </row>
    <row r="69" spans="1:6" x14ac:dyDescent="0.25">
      <c r="A69" s="37" t="s">
        <v>98</v>
      </c>
      <c r="B69" s="37">
        <v>45744.841666666667</v>
      </c>
      <c r="C69" t="s">
        <v>135</v>
      </c>
      <c r="D69" t="s">
        <v>105</v>
      </c>
      <c r="E69" t="s">
        <v>103</v>
      </c>
      <c r="F69" s="40" t="str">
        <f>HYPERLINK("https://finnhub.io/api/news?id=43837fa815f33a08fe0a4487fd0cc46d8687edf7f630f9ba66fdb16dae375967", "https://finnhub.io/api/news?id=43837fa815f33a08fe0a4487fd0cc46d8687edf7f630f9ba66fdb16dae375967")</f>
        <v>https://finnhub.io/api/news?id=43837fa815f33a08fe0a4487fd0cc46d8687edf7f630f9ba66fdb16dae375967</v>
      </c>
    </row>
    <row r="70" spans="1:6" x14ac:dyDescent="0.25">
      <c r="A70" s="37" t="s">
        <v>98</v>
      </c>
      <c r="B70" s="37">
        <v>45744.693749999999</v>
      </c>
      <c r="C70" t="s">
        <v>167</v>
      </c>
      <c r="D70" t="s">
        <v>102</v>
      </c>
      <c r="E70" t="s">
        <v>103</v>
      </c>
      <c r="F70" s="40" t="str">
        <f>HYPERLINK("https://finnhub.io/api/news?id=a3ed3190f2dc2cbd8669c5cff93b16c06dc7ebfb44ccd90832524f43bff9bc96", "https://finnhub.io/api/news?id=a3ed3190f2dc2cbd8669c5cff93b16c06dc7ebfb44ccd90832524f43bff9bc96")</f>
        <v>https://finnhub.io/api/news?id=a3ed3190f2dc2cbd8669c5cff93b16c06dc7ebfb44ccd90832524f43bff9bc96</v>
      </c>
    </row>
    <row r="71" spans="1:6" x14ac:dyDescent="0.25">
      <c r="A71" s="37" t="s">
        <v>98</v>
      </c>
      <c r="B71" s="37">
        <v>45744.561111111114</v>
      </c>
      <c r="C71" t="s">
        <v>137</v>
      </c>
      <c r="D71" t="s">
        <v>102</v>
      </c>
      <c r="E71" t="s">
        <v>103</v>
      </c>
      <c r="F71" s="40" t="str">
        <f>HYPERLINK("https://finnhub.io/api/news?id=c32b2fbacb2221731949b4946d4dbcd933555e1691d928d9424480cb8c746011", "https://finnhub.io/api/news?id=c32b2fbacb2221731949b4946d4dbcd933555e1691d928d9424480cb8c746011")</f>
        <v>https://finnhub.io/api/news?id=c32b2fbacb2221731949b4946d4dbcd933555e1691d928d9424480cb8c746011</v>
      </c>
    </row>
    <row r="72" spans="1:6" x14ac:dyDescent="0.25">
      <c r="A72" s="37" t="s">
        <v>98</v>
      </c>
      <c r="B72" s="37">
        <v>45744.49722222222</v>
      </c>
      <c r="C72" t="s">
        <v>168</v>
      </c>
      <c r="D72" t="s">
        <v>102</v>
      </c>
      <c r="E72" t="s">
        <v>103</v>
      </c>
      <c r="F72" s="40" t="str">
        <f>HYPERLINK("https://finnhub.io/api/news?id=eaa5ae75d6b9da72f6093b08ca95a4ada426ce87750a75a5d6ed09b82ceed69e", "https://finnhub.io/api/news?id=eaa5ae75d6b9da72f6093b08ca95a4ada426ce87750a75a5d6ed09b82ceed69e")</f>
        <v>https://finnhub.io/api/news?id=eaa5ae75d6b9da72f6093b08ca95a4ada426ce87750a75a5d6ed09b82ceed69e</v>
      </c>
    </row>
    <row r="73" spans="1:6" x14ac:dyDescent="0.25">
      <c r="A73" s="37" t="s">
        <v>98</v>
      </c>
      <c r="B73" s="37">
        <v>45744.493055555555</v>
      </c>
      <c r="C73" t="s">
        <v>169</v>
      </c>
      <c r="D73" t="s">
        <v>122</v>
      </c>
      <c r="E73" t="s">
        <v>103</v>
      </c>
      <c r="F73" s="40" t="str">
        <f>HYPERLINK("https://finnhub.io/api/news?id=f0e0e264f6a86233dc648b6a1f03d4d5eb8af81fcbf124f60de91f0ca9b0cbe7", "https://finnhub.io/api/news?id=f0e0e264f6a86233dc648b6a1f03d4d5eb8af81fcbf124f60de91f0ca9b0cbe7")</f>
        <v>https://finnhub.io/api/news?id=f0e0e264f6a86233dc648b6a1f03d4d5eb8af81fcbf124f60de91f0ca9b0cbe7</v>
      </c>
    </row>
    <row r="74" spans="1:6" x14ac:dyDescent="0.25">
      <c r="A74" s="37" t="s">
        <v>98</v>
      </c>
      <c r="B74" s="37">
        <v>45744.532638888886</v>
      </c>
      <c r="C74" t="s">
        <v>170</v>
      </c>
      <c r="D74" t="s">
        <v>102</v>
      </c>
      <c r="E74" t="s">
        <v>103</v>
      </c>
      <c r="F74" s="40" t="str">
        <f>HYPERLINK("https://finnhub.io/api/news?id=90b26846322915696d55c9fa68d35d83380e09221dd9b4c8b30cf240b0af9aab", "https://finnhub.io/api/news?id=90b26846322915696d55c9fa68d35d83380e09221dd9b4c8b30cf240b0af9aab")</f>
        <v>https://finnhub.io/api/news?id=90b26846322915696d55c9fa68d35d83380e09221dd9b4c8b30cf240b0af9aab</v>
      </c>
    </row>
    <row r="75" spans="1:6" x14ac:dyDescent="0.25">
      <c r="A75" s="37" t="s">
        <v>98</v>
      </c>
      <c r="B75" s="37">
        <v>45744.333333333336</v>
      </c>
      <c r="C75" t="s">
        <v>171</v>
      </c>
      <c r="D75" t="s">
        <v>102</v>
      </c>
      <c r="E75" t="s">
        <v>103</v>
      </c>
      <c r="F75" s="40" t="str">
        <f>HYPERLINK("https://finnhub.io/api/news?id=d155507ef88ba13a15b2c3b6f5dbf6ebad76bb50c56936e0b1630883337eed55", "https://finnhub.io/api/news?id=d155507ef88ba13a15b2c3b6f5dbf6ebad76bb50c56936e0b1630883337eed55")</f>
        <v>https://finnhub.io/api/news?id=d155507ef88ba13a15b2c3b6f5dbf6ebad76bb50c56936e0b1630883337eed55</v>
      </c>
    </row>
    <row r="76" spans="1:6" x14ac:dyDescent="0.25">
      <c r="A76" s="37" t="s">
        <v>98</v>
      </c>
      <c r="B76" s="37">
        <v>45744.291666666664</v>
      </c>
      <c r="C76" t="s">
        <v>172</v>
      </c>
      <c r="D76" t="s">
        <v>102</v>
      </c>
      <c r="E76" t="s">
        <v>103</v>
      </c>
      <c r="F76" s="40" t="str">
        <f>HYPERLINK("https://finnhub.io/api/news?id=223271b388073fe190d8f4d1ad7793bf7ac39c60146be57eb9e24bab2e21f08d", "https://finnhub.io/api/news?id=223271b388073fe190d8f4d1ad7793bf7ac39c60146be57eb9e24bab2e21f08d")</f>
        <v>https://finnhub.io/api/news?id=223271b388073fe190d8f4d1ad7793bf7ac39c60146be57eb9e24bab2e21f08d</v>
      </c>
    </row>
    <row r="77" spans="1:6" x14ac:dyDescent="0.25">
      <c r="A77" s="37" t="s">
        <v>98</v>
      </c>
      <c r="B77" s="37">
        <v>45744.256944444445</v>
      </c>
      <c r="C77" t="s">
        <v>173</v>
      </c>
      <c r="D77" t="s">
        <v>105</v>
      </c>
      <c r="E77" t="s">
        <v>103</v>
      </c>
      <c r="F77" s="40" t="str">
        <f>HYPERLINK("https://finnhub.io/api/news?id=93e07a5a7a0f61e262a6cf317819d9383ae8afc93bfd379d27ab45ed6b8da1e4", "https://finnhub.io/api/news?id=93e07a5a7a0f61e262a6cf317819d9383ae8afc93bfd379d27ab45ed6b8da1e4")</f>
        <v>https://finnhub.io/api/news?id=93e07a5a7a0f61e262a6cf317819d9383ae8afc93bfd379d27ab45ed6b8da1e4</v>
      </c>
    </row>
    <row r="78" spans="1:6" x14ac:dyDescent="0.25">
      <c r="A78" s="37" t="s">
        <v>98</v>
      </c>
      <c r="B78" s="37">
        <v>45744.234027777777</v>
      </c>
      <c r="C78" t="s">
        <v>174</v>
      </c>
      <c r="D78" t="s">
        <v>102</v>
      </c>
      <c r="E78" t="s">
        <v>103</v>
      </c>
      <c r="F78" s="40" t="str">
        <f>HYPERLINK("https://finnhub.io/api/news?id=fceeff7581eee4350c0e484958d144437c1f0c9cf6eaaacc0f6f5559e806da3a", "https://finnhub.io/api/news?id=fceeff7581eee4350c0e484958d144437c1f0c9cf6eaaacc0f6f5559e806da3a")</f>
        <v>https://finnhub.io/api/news?id=fceeff7581eee4350c0e484958d144437c1f0c9cf6eaaacc0f6f5559e806da3a</v>
      </c>
    </row>
    <row r="79" spans="1:6" x14ac:dyDescent="0.25">
      <c r="A79" s="37" t="s">
        <v>98</v>
      </c>
      <c r="B79" s="37">
        <v>45744.229166666664</v>
      </c>
      <c r="C79" t="s">
        <v>150</v>
      </c>
      <c r="D79" t="s">
        <v>102</v>
      </c>
      <c r="E79" t="s">
        <v>103</v>
      </c>
      <c r="F79" s="40" t="str">
        <f>HYPERLINK("https://finnhub.io/api/news?id=fc2c81c11e60b3a2badc45a74b4952e2513deb7a32d89c76675a91b9ef3d7043", "https://finnhub.io/api/news?id=fc2c81c11e60b3a2badc45a74b4952e2513deb7a32d89c76675a91b9ef3d7043")</f>
        <v>https://finnhub.io/api/news?id=fc2c81c11e60b3a2badc45a74b4952e2513deb7a32d89c76675a91b9ef3d7043</v>
      </c>
    </row>
    <row r="80" spans="1:6" x14ac:dyDescent="0.25">
      <c r="A80" s="37" t="s">
        <v>98</v>
      </c>
      <c r="B80" s="37">
        <v>45744.220833333333</v>
      </c>
      <c r="C80" t="s">
        <v>175</v>
      </c>
      <c r="D80" t="s">
        <v>102</v>
      </c>
      <c r="E80" t="s">
        <v>103</v>
      </c>
      <c r="F80" s="40" t="str">
        <f>HYPERLINK("https://finnhub.io/api/news?id=b26ec1ef3dcd38b06b1f9188eba167eb3884b971ff1605f0ee44a3b5cb3ef947", "https://finnhub.io/api/news?id=b26ec1ef3dcd38b06b1f9188eba167eb3884b971ff1605f0ee44a3b5cb3ef947")</f>
        <v>https://finnhub.io/api/news?id=b26ec1ef3dcd38b06b1f9188eba167eb3884b971ff1605f0ee44a3b5cb3ef947</v>
      </c>
    </row>
    <row r="81" spans="1:6" x14ac:dyDescent="0.25">
      <c r="A81" s="37" t="s">
        <v>98</v>
      </c>
      <c r="B81" s="37">
        <v>45744.188194444447</v>
      </c>
      <c r="C81" t="s">
        <v>176</v>
      </c>
      <c r="D81" t="s">
        <v>105</v>
      </c>
      <c r="E81" t="s">
        <v>103</v>
      </c>
      <c r="F81" s="40" t="str">
        <f>HYPERLINK("https://finnhub.io/api/news?id=ecb715005291f5b38a1768c059cef9110ca0ad250cc5914a599f255ecfc93be0", "https://finnhub.io/api/news?id=ecb715005291f5b38a1768c059cef9110ca0ad250cc5914a599f255ecfc93be0")</f>
        <v>https://finnhub.io/api/news?id=ecb715005291f5b38a1768c059cef9110ca0ad250cc5914a599f255ecfc93be0</v>
      </c>
    </row>
    <row r="82" spans="1:6" x14ac:dyDescent="0.25">
      <c r="A82" s="37" t="s">
        <v>98</v>
      </c>
      <c r="B82" s="37">
        <v>45744.158333333333</v>
      </c>
      <c r="C82" t="s">
        <v>177</v>
      </c>
      <c r="D82" t="s">
        <v>105</v>
      </c>
      <c r="E82" t="s">
        <v>103</v>
      </c>
      <c r="F82" s="40" t="str">
        <f>HYPERLINK("https://finnhub.io/api/news?id=66a77a585d80a87ecb1a4721a1a9fa921e9b71f41ad218a7fad4923478ae2490", "https://finnhub.io/api/news?id=66a77a585d80a87ecb1a4721a1a9fa921e9b71f41ad218a7fad4923478ae2490")</f>
        <v>https://finnhub.io/api/news?id=66a77a585d80a87ecb1a4721a1a9fa921e9b71f41ad218a7fad4923478ae2490</v>
      </c>
    </row>
    <row r="83" spans="1:6" x14ac:dyDescent="0.25">
      <c r="A83" s="37" t="s">
        <v>98</v>
      </c>
      <c r="B83" s="37">
        <v>45744.151388888888</v>
      </c>
      <c r="C83" t="s">
        <v>152</v>
      </c>
      <c r="D83" t="s">
        <v>105</v>
      </c>
      <c r="E83" t="s">
        <v>103</v>
      </c>
      <c r="F83" s="40" t="str">
        <f>HYPERLINK("https://finnhub.io/api/news?id=e755f959211d3f69daa2f3257962813e76f21a1fe5e234eda685b267104bb140", "https://finnhub.io/api/news?id=e755f959211d3f69daa2f3257962813e76f21a1fe5e234eda685b267104bb140")</f>
        <v>https://finnhub.io/api/news?id=e755f959211d3f69daa2f3257962813e76f21a1fe5e234eda685b267104bb140</v>
      </c>
    </row>
    <row r="84" spans="1:6" x14ac:dyDescent="0.25">
      <c r="A84" s="37" t="s">
        <v>98</v>
      </c>
      <c r="B84" s="37">
        <v>45744.090277777781</v>
      </c>
      <c r="C84" t="s">
        <v>178</v>
      </c>
      <c r="D84" t="s">
        <v>130</v>
      </c>
      <c r="E84" t="s">
        <v>103</v>
      </c>
      <c r="F84" s="40" t="str">
        <f>HYPERLINK("https://finnhub.io/api/news?id=f145af72424cc0651dc9d175f3e445db5429ba619585517878a94ebfea0bce3d", "https://finnhub.io/api/news?id=f145af72424cc0651dc9d175f3e445db5429ba619585517878a94ebfea0bce3d")</f>
        <v>https://finnhub.io/api/news?id=f145af72424cc0651dc9d175f3e445db5429ba619585517878a94ebfea0bce3d</v>
      </c>
    </row>
    <row r="85" spans="1:6" x14ac:dyDescent="0.25">
      <c r="A85" s="37"/>
      <c r="B85" s="37"/>
      <c r="F85" s="40"/>
    </row>
    <row r="86" spans="1:6" x14ac:dyDescent="0.25">
      <c r="A86" s="37"/>
      <c r="B86" s="37"/>
      <c r="F86" s="40"/>
    </row>
    <row r="87" spans="1:6" x14ac:dyDescent="0.25">
      <c r="A87" s="37"/>
      <c r="B87" s="37"/>
      <c r="F87" s="40"/>
    </row>
    <row r="88" spans="1:6" x14ac:dyDescent="0.25">
      <c r="A88" s="37"/>
      <c r="B88" s="37"/>
      <c r="F88" s="40"/>
    </row>
    <row r="89" spans="1:6" x14ac:dyDescent="0.25">
      <c r="A89" s="37"/>
      <c r="B89" s="37"/>
      <c r="F89" s="40"/>
    </row>
    <row r="90" spans="1:6" x14ac:dyDescent="0.25">
      <c r="A90" s="37"/>
      <c r="B90" s="37"/>
      <c r="F90" s="40"/>
    </row>
    <row r="91" spans="1:6" x14ac:dyDescent="0.25">
      <c r="A91" s="37"/>
      <c r="B91" s="37"/>
      <c r="F91" s="40"/>
    </row>
    <row r="92" spans="1:6" x14ac:dyDescent="0.25">
      <c r="A92" s="37"/>
      <c r="B92" s="37"/>
      <c r="F92" s="40"/>
    </row>
    <row r="93" spans="1:6" x14ac:dyDescent="0.25">
      <c r="A93" s="37"/>
      <c r="B93" s="37"/>
      <c r="F93" s="40"/>
    </row>
    <row r="94" spans="1:6" x14ac:dyDescent="0.25">
      <c r="A94" s="37"/>
      <c r="B94" s="37"/>
      <c r="F94" s="40"/>
    </row>
    <row r="95" spans="1:6" x14ac:dyDescent="0.25">
      <c r="A95" s="37"/>
      <c r="B95" s="37"/>
      <c r="F95" s="40"/>
    </row>
    <row r="96" spans="1:6" x14ac:dyDescent="0.25">
      <c r="A96" s="37"/>
      <c r="B96" s="37"/>
      <c r="F96" s="40"/>
    </row>
    <row r="97" spans="1:6" x14ac:dyDescent="0.25">
      <c r="A97" s="37"/>
      <c r="B97" s="37"/>
      <c r="F97" s="40"/>
    </row>
    <row r="98" spans="1:6" x14ac:dyDescent="0.25">
      <c r="A98" s="37"/>
      <c r="B98" s="37"/>
      <c r="F98" s="40"/>
    </row>
    <row r="99" spans="1:6" x14ac:dyDescent="0.25">
      <c r="A99" s="37"/>
      <c r="B99" s="37"/>
      <c r="F99" s="40"/>
    </row>
    <row r="100" spans="1:6" x14ac:dyDescent="0.25">
      <c r="A100" s="37"/>
      <c r="B100" s="37"/>
      <c r="F100" s="40"/>
    </row>
    <row r="101" spans="1:6" x14ac:dyDescent="0.25">
      <c r="A101" s="37"/>
      <c r="B101" s="37"/>
      <c r="F101" s="40"/>
    </row>
    <row r="102" spans="1:6" x14ac:dyDescent="0.25">
      <c r="A102" s="37"/>
      <c r="B102" s="37"/>
      <c r="F102" s="40"/>
    </row>
    <row r="103" spans="1:6" x14ac:dyDescent="0.25">
      <c r="A103" s="37"/>
      <c r="B103" s="37"/>
      <c r="F103" s="40"/>
    </row>
    <row r="104" spans="1:6" x14ac:dyDescent="0.25">
      <c r="A104" s="37"/>
      <c r="B104" s="37"/>
      <c r="F104" s="40"/>
    </row>
    <row r="105" spans="1:6" x14ac:dyDescent="0.25">
      <c r="A105" s="37"/>
      <c r="B105" s="37"/>
      <c r="F105" s="40"/>
    </row>
    <row r="106" spans="1:6" x14ac:dyDescent="0.25">
      <c r="A106" s="37"/>
      <c r="B106" s="37"/>
      <c r="F106" s="40"/>
    </row>
    <row r="107" spans="1:6" x14ac:dyDescent="0.25">
      <c r="A107" s="37"/>
      <c r="B107" s="37"/>
      <c r="F107" s="40"/>
    </row>
    <row r="108" spans="1:6" x14ac:dyDescent="0.25">
      <c r="A108" s="37"/>
      <c r="B108" s="37"/>
      <c r="F108" s="40"/>
    </row>
    <row r="109" spans="1:6" x14ac:dyDescent="0.25">
      <c r="A109" s="37"/>
      <c r="B109" s="37"/>
      <c r="F109" s="40"/>
    </row>
    <row r="110" spans="1:6" x14ac:dyDescent="0.25">
      <c r="A110" s="37"/>
      <c r="B110" s="37"/>
      <c r="F110" s="40"/>
    </row>
    <row r="111" spans="1:6" x14ac:dyDescent="0.25">
      <c r="A111" s="37"/>
      <c r="B111" s="37"/>
      <c r="F111" s="40"/>
    </row>
    <row r="112" spans="1:6" x14ac:dyDescent="0.25">
      <c r="A112" s="37"/>
      <c r="B112" s="37"/>
      <c r="F112" s="40"/>
    </row>
    <row r="113" spans="1:6" x14ac:dyDescent="0.25">
      <c r="A113" s="37"/>
      <c r="B113" s="37"/>
      <c r="F113" s="40"/>
    </row>
    <row r="114" spans="1:6" x14ac:dyDescent="0.25">
      <c r="A114" s="37"/>
      <c r="B114" s="37"/>
      <c r="F114" s="40"/>
    </row>
    <row r="115" spans="1:6" x14ac:dyDescent="0.25">
      <c r="A115" s="37"/>
      <c r="B115" s="37"/>
      <c r="F115" s="40"/>
    </row>
    <row r="116" spans="1:6" x14ac:dyDescent="0.25">
      <c r="A116" s="37"/>
      <c r="B116" s="37"/>
      <c r="F116" s="40"/>
    </row>
    <row r="117" spans="1:6" x14ac:dyDescent="0.25">
      <c r="A117" s="37"/>
      <c r="B117" s="37"/>
      <c r="F117" s="40"/>
    </row>
    <row r="118" spans="1:6" x14ac:dyDescent="0.25">
      <c r="A118" s="37"/>
      <c r="B118" s="37"/>
      <c r="F118" s="40"/>
    </row>
    <row r="119" spans="1:6" x14ac:dyDescent="0.25">
      <c r="A119" s="37"/>
      <c r="B119" s="37"/>
      <c r="F119" s="40"/>
    </row>
    <row r="120" spans="1:6" x14ac:dyDescent="0.25">
      <c r="A120" s="37"/>
      <c r="B120" s="37"/>
      <c r="F120" s="40"/>
    </row>
    <row r="121" spans="1:6" x14ac:dyDescent="0.25">
      <c r="A121" s="37"/>
      <c r="B121" s="37"/>
      <c r="F121" s="40"/>
    </row>
    <row r="122" spans="1:6" x14ac:dyDescent="0.25">
      <c r="A122" s="37"/>
      <c r="B122" s="37"/>
      <c r="F122" s="40"/>
    </row>
    <row r="123" spans="1:6" x14ac:dyDescent="0.25">
      <c r="A123" s="37"/>
      <c r="B123" s="37"/>
      <c r="F123" s="40"/>
    </row>
    <row r="124" spans="1:6" x14ac:dyDescent="0.25">
      <c r="A124" s="37"/>
      <c r="B124" s="37"/>
      <c r="F124" s="40"/>
    </row>
    <row r="125" spans="1:6" x14ac:dyDescent="0.25">
      <c r="A125" s="37"/>
      <c r="B125" s="37"/>
      <c r="F125" s="40"/>
    </row>
    <row r="126" spans="1:6" x14ac:dyDescent="0.25">
      <c r="A126" s="37"/>
      <c r="B126" s="37"/>
      <c r="F126" s="40"/>
    </row>
    <row r="127" spans="1:6" x14ac:dyDescent="0.25">
      <c r="A127" s="37"/>
      <c r="B127" s="37"/>
      <c r="F127" s="40"/>
    </row>
    <row r="128" spans="1:6" x14ac:dyDescent="0.25">
      <c r="A128" s="37"/>
      <c r="B128" s="37"/>
      <c r="F128" s="40"/>
    </row>
    <row r="129" spans="1:6" x14ac:dyDescent="0.25">
      <c r="A129" s="37"/>
      <c r="B129" s="37"/>
      <c r="F129" s="40"/>
    </row>
    <row r="130" spans="1:6" x14ac:dyDescent="0.25">
      <c r="A130" s="37"/>
      <c r="B130" s="37"/>
      <c r="F130" s="40"/>
    </row>
    <row r="131" spans="1:6" x14ac:dyDescent="0.25">
      <c r="A131" s="37"/>
      <c r="B131" s="37"/>
      <c r="F131" s="40"/>
    </row>
    <row r="132" spans="1:6" x14ac:dyDescent="0.25">
      <c r="A132" s="37"/>
      <c r="B132" s="37"/>
      <c r="F132" s="40"/>
    </row>
    <row r="133" spans="1:6" x14ac:dyDescent="0.25">
      <c r="A133" s="37"/>
      <c r="B133" s="37"/>
      <c r="F133" s="40"/>
    </row>
    <row r="134" spans="1:6" x14ac:dyDescent="0.25">
      <c r="A134" s="37"/>
      <c r="B134" s="37"/>
      <c r="F134" s="40"/>
    </row>
    <row r="135" spans="1:6" x14ac:dyDescent="0.25">
      <c r="A135" s="37"/>
      <c r="B135" s="37"/>
      <c r="F135" s="40"/>
    </row>
    <row r="136" spans="1:6" x14ac:dyDescent="0.25">
      <c r="A136" s="37"/>
      <c r="B136" s="37"/>
      <c r="F136" s="40"/>
    </row>
    <row r="137" spans="1:6" x14ac:dyDescent="0.25">
      <c r="A137" s="37"/>
      <c r="B137" s="37"/>
      <c r="F137" s="40"/>
    </row>
    <row r="138" spans="1:6" x14ac:dyDescent="0.25">
      <c r="A138" s="37"/>
      <c r="B138" s="37"/>
      <c r="F138" s="40"/>
    </row>
    <row r="139" spans="1:6" x14ac:dyDescent="0.25">
      <c r="A139" s="37"/>
      <c r="B139" s="37"/>
      <c r="F139" s="40"/>
    </row>
    <row r="140" spans="1:6" x14ac:dyDescent="0.25">
      <c r="A140" s="37"/>
      <c r="B140" s="37"/>
      <c r="F140" s="40"/>
    </row>
    <row r="141" spans="1:6" x14ac:dyDescent="0.25">
      <c r="A141" s="37"/>
      <c r="B141" s="37"/>
      <c r="F141" s="40"/>
    </row>
    <row r="142" spans="1:6" x14ac:dyDescent="0.25">
      <c r="A142" s="37"/>
      <c r="B142" s="37"/>
      <c r="F142" s="40"/>
    </row>
    <row r="143" spans="1:6" x14ac:dyDescent="0.25">
      <c r="A143" s="37"/>
      <c r="B143" s="37"/>
      <c r="F143" s="40"/>
    </row>
    <row r="144" spans="1:6" x14ac:dyDescent="0.25">
      <c r="A144" s="37"/>
      <c r="B144" s="37"/>
      <c r="F144" s="40"/>
    </row>
    <row r="145" spans="1:6" x14ac:dyDescent="0.25">
      <c r="A145" s="37"/>
      <c r="B145" s="37"/>
      <c r="F145" s="40"/>
    </row>
    <row r="146" spans="1:6" x14ac:dyDescent="0.25">
      <c r="A146" s="37"/>
      <c r="B146" s="37"/>
      <c r="F146" s="40"/>
    </row>
    <row r="147" spans="1:6" x14ac:dyDescent="0.25">
      <c r="A147" s="37"/>
      <c r="B147" s="37"/>
      <c r="F147" s="40"/>
    </row>
    <row r="148" spans="1:6" x14ac:dyDescent="0.25">
      <c r="A148" s="37"/>
      <c r="B148" s="37"/>
      <c r="F148" s="40"/>
    </row>
    <row r="149" spans="1:6" x14ac:dyDescent="0.25">
      <c r="A149" s="37"/>
      <c r="B149" s="37"/>
      <c r="F149" s="40"/>
    </row>
    <row r="150" spans="1:6" x14ac:dyDescent="0.25">
      <c r="A150" s="37"/>
      <c r="B150" s="37"/>
      <c r="F150" s="40"/>
    </row>
    <row r="151" spans="1:6" x14ac:dyDescent="0.25">
      <c r="A151" s="37"/>
      <c r="B151" s="37"/>
      <c r="F151" s="40"/>
    </row>
    <row r="152" spans="1:6" x14ac:dyDescent="0.25">
      <c r="A152" s="37"/>
      <c r="B152" s="37"/>
      <c r="F152" s="40"/>
    </row>
    <row r="153" spans="1:6" x14ac:dyDescent="0.25">
      <c r="A153" s="37"/>
      <c r="B153" s="37"/>
      <c r="F153" s="40"/>
    </row>
    <row r="154" spans="1:6" x14ac:dyDescent="0.25">
      <c r="A154" s="37"/>
      <c r="B154" s="37"/>
      <c r="F154" s="40"/>
    </row>
    <row r="155" spans="1:6" x14ac:dyDescent="0.25">
      <c r="A155" s="37"/>
      <c r="B155" s="37"/>
      <c r="F155" s="40"/>
    </row>
    <row r="156" spans="1:6" x14ac:dyDescent="0.25">
      <c r="A156" s="37"/>
      <c r="B156" s="37"/>
      <c r="F156" s="40"/>
    </row>
    <row r="157" spans="1:6" x14ac:dyDescent="0.25">
      <c r="A157" s="37"/>
      <c r="B157" s="37"/>
      <c r="F157" s="40"/>
    </row>
    <row r="158" spans="1:6" x14ac:dyDescent="0.25">
      <c r="A158" s="37"/>
      <c r="B158" s="37"/>
      <c r="F158" s="40"/>
    </row>
    <row r="159" spans="1:6" x14ac:dyDescent="0.25">
      <c r="A159" s="37"/>
      <c r="B159" s="37"/>
      <c r="F159" s="40"/>
    </row>
    <row r="160" spans="1:6" x14ac:dyDescent="0.25">
      <c r="A160" s="37"/>
      <c r="B160" s="37"/>
      <c r="C160" s="38"/>
      <c r="F160" s="40"/>
    </row>
    <row r="161" spans="1:6" x14ac:dyDescent="0.25">
      <c r="A161" s="37"/>
      <c r="B161" s="37"/>
      <c r="F161" s="40"/>
    </row>
    <row r="162" spans="1:6" x14ac:dyDescent="0.25">
      <c r="A162" s="37"/>
      <c r="B162" s="37"/>
      <c r="C162" s="38"/>
      <c r="F162" s="40"/>
    </row>
    <row r="163" spans="1:6" x14ac:dyDescent="0.25">
      <c r="A163" s="37"/>
      <c r="B163" s="37"/>
      <c r="C163" s="38"/>
      <c r="F163" s="40"/>
    </row>
    <row r="164" spans="1:6" x14ac:dyDescent="0.25">
      <c r="A164" s="37"/>
      <c r="B164" s="39"/>
      <c r="F164" s="40"/>
    </row>
    <row r="165" spans="1:6" x14ac:dyDescent="0.25">
      <c r="A165" s="37"/>
      <c r="B165" s="37"/>
      <c r="F165" s="40"/>
    </row>
    <row r="166" spans="1:6" x14ac:dyDescent="0.25">
      <c r="A166" s="37"/>
      <c r="B166" s="37"/>
      <c r="F166" s="40"/>
    </row>
    <row r="167" spans="1:6" x14ac:dyDescent="0.25">
      <c r="A167" s="37"/>
      <c r="B167" s="37"/>
      <c r="F167" s="40"/>
    </row>
    <row r="168" spans="1:6" x14ac:dyDescent="0.25">
      <c r="A168" s="37"/>
      <c r="B168" s="37"/>
      <c r="F168" s="40"/>
    </row>
    <row r="169" spans="1:6" x14ac:dyDescent="0.25">
      <c r="A169" s="37"/>
      <c r="B169" s="37"/>
      <c r="F169" s="40"/>
    </row>
    <row r="170" spans="1:6" x14ac:dyDescent="0.25">
      <c r="A170" s="37"/>
      <c r="B170" s="37"/>
      <c r="F170" s="40"/>
    </row>
    <row r="171" spans="1:6" x14ac:dyDescent="0.25">
      <c r="A171" s="37"/>
      <c r="B171" s="37"/>
      <c r="F171" s="40"/>
    </row>
    <row r="172" spans="1:6" x14ac:dyDescent="0.25">
      <c r="A172" s="37"/>
      <c r="B172" s="37"/>
      <c r="F172" s="40"/>
    </row>
    <row r="173" spans="1:6" x14ac:dyDescent="0.25">
      <c r="A173" s="37"/>
      <c r="B173" s="37"/>
      <c r="F173" s="40"/>
    </row>
    <row r="174" spans="1:6" x14ac:dyDescent="0.25">
      <c r="A174" s="37"/>
      <c r="B174" s="37"/>
      <c r="F174" s="40"/>
    </row>
    <row r="175" spans="1:6" x14ac:dyDescent="0.25">
      <c r="A175" s="37"/>
      <c r="B175" s="37"/>
      <c r="F175" s="40"/>
    </row>
    <row r="176" spans="1:6" x14ac:dyDescent="0.25">
      <c r="A176" s="37"/>
      <c r="B176" s="37"/>
      <c r="F176" s="40"/>
    </row>
    <row r="177" spans="1:6" x14ac:dyDescent="0.25">
      <c r="A177" s="37"/>
      <c r="B177" s="37"/>
      <c r="F177" s="40"/>
    </row>
    <row r="178" spans="1:6" x14ac:dyDescent="0.25">
      <c r="A178" s="37"/>
      <c r="B178" s="37"/>
      <c r="F178" s="40"/>
    </row>
    <row r="179" spans="1:6" x14ac:dyDescent="0.25">
      <c r="A179" s="37"/>
      <c r="B179" s="37"/>
      <c r="F179" s="40"/>
    </row>
    <row r="180" spans="1:6" x14ac:dyDescent="0.25">
      <c r="A180" s="37"/>
      <c r="B180" s="37"/>
      <c r="F180" s="40"/>
    </row>
    <row r="181" spans="1:6" x14ac:dyDescent="0.25">
      <c r="A181" s="37"/>
      <c r="B181" s="37"/>
      <c r="F181" s="40"/>
    </row>
    <row r="182" spans="1:6" x14ac:dyDescent="0.25">
      <c r="A182" s="37"/>
      <c r="B182" s="37"/>
      <c r="F182" s="40"/>
    </row>
    <row r="183" spans="1:6" x14ac:dyDescent="0.25">
      <c r="A183" s="37"/>
      <c r="B183" s="37"/>
      <c r="F183" s="40"/>
    </row>
    <row r="184" spans="1:6" x14ac:dyDescent="0.25">
      <c r="A184" s="37"/>
      <c r="B184" s="37"/>
      <c r="F184" s="40"/>
    </row>
    <row r="185" spans="1:6" x14ac:dyDescent="0.25">
      <c r="A185" s="37"/>
      <c r="B185" s="37"/>
      <c r="F185" s="40"/>
    </row>
    <row r="186" spans="1:6" x14ac:dyDescent="0.25">
      <c r="A186" s="37"/>
      <c r="B186" s="37"/>
      <c r="F186" s="40"/>
    </row>
    <row r="187" spans="1:6" x14ac:dyDescent="0.25">
      <c r="A187" s="37"/>
      <c r="B187" s="37"/>
      <c r="F187" s="40"/>
    </row>
    <row r="188" spans="1:6" x14ac:dyDescent="0.25">
      <c r="A188" s="37"/>
      <c r="B188" s="37"/>
      <c r="F188" s="40"/>
    </row>
    <row r="189" spans="1:6" x14ac:dyDescent="0.25">
      <c r="A189" s="37"/>
      <c r="B189" s="37"/>
      <c r="F189" s="40"/>
    </row>
    <row r="190" spans="1:6" x14ac:dyDescent="0.25">
      <c r="A190" s="37"/>
      <c r="B190" s="37"/>
      <c r="F190" s="40"/>
    </row>
    <row r="191" spans="1:6" x14ac:dyDescent="0.25">
      <c r="A191" s="37"/>
      <c r="B191" s="37"/>
      <c r="F191" s="40"/>
    </row>
    <row r="192" spans="1:6" x14ac:dyDescent="0.25">
      <c r="A192" s="37"/>
      <c r="B192" s="37"/>
      <c r="F192" s="40"/>
    </row>
    <row r="193" spans="1:6" x14ac:dyDescent="0.25">
      <c r="A193" s="37"/>
      <c r="B193" s="37"/>
      <c r="F193" s="40"/>
    </row>
    <row r="194" spans="1:6" x14ac:dyDescent="0.25">
      <c r="A194" s="37"/>
      <c r="B194" s="37"/>
      <c r="F194" s="40"/>
    </row>
    <row r="195" spans="1:6" x14ac:dyDescent="0.25">
      <c r="A195" s="37"/>
      <c r="B195" s="37"/>
      <c r="F195" s="40"/>
    </row>
    <row r="196" spans="1:6" x14ac:dyDescent="0.25">
      <c r="A196" s="37"/>
      <c r="B196" s="37"/>
      <c r="F196" s="40"/>
    </row>
    <row r="197" spans="1:6" x14ac:dyDescent="0.25">
      <c r="A197" s="37"/>
      <c r="B197" s="37"/>
      <c r="F197" s="40"/>
    </row>
    <row r="198" spans="1:6" x14ac:dyDescent="0.25">
      <c r="A198" s="37"/>
      <c r="B198" s="37"/>
      <c r="F198" s="40"/>
    </row>
    <row r="199" spans="1:6" x14ac:dyDescent="0.25">
      <c r="A199" s="37"/>
      <c r="B199" s="37"/>
      <c r="F199" s="40"/>
    </row>
    <row r="200" spans="1:6" x14ac:dyDescent="0.25">
      <c r="A200" s="37"/>
      <c r="B200" s="37"/>
      <c r="F200" s="40"/>
    </row>
    <row r="201" spans="1:6" x14ac:dyDescent="0.25">
      <c r="A201" s="37"/>
      <c r="B201" s="37"/>
      <c r="F201" s="40"/>
    </row>
    <row r="202" spans="1:6" x14ac:dyDescent="0.25">
      <c r="A202" s="37"/>
      <c r="B202" s="37"/>
      <c r="F202" s="40"/>
    </row>
    <row r="203" spans="1:6" x14ac:dyDescent="0.25">
      <c r="A203" s="37"/>
      <c r="B203" s="37"/>
      <c r="F203" s="40"/>
    </row>
    <row r="204" spans="1:6" x14ac:dyDescent="0.25">
      <c r="A204" s="37"/>
      <c r="B204" s="37"/>
      <c r="F204" s="40"/>
    </row>
    <row r="205" spans="1:6" x14ac:dyDescent="0.25">
      <c r="A205" s="37"/>
      <c r="B205" s="37"/>
      <c r="F205" s="40"/>
    </row>
    <row r="206" spans="1:6" x14ac:dyDescent="0.25">
      <c r="A206" s="37"/>
      <c r="B206" s="37"/>
      <c r="F206" s="40"/>
    </row>
    <row r="207" spans="1:6" x14ac:dyDescent="0.25">
      <c r="A207" s="37"/>
      <c r="B207" s="37"/>
      <c r="F207" s="40"/>
    </row>
    <row r="208" spans="1:6" x14ac:dyDescent="0.25">
      <c r="A208" s="37"/>
      <c r="B208" s="37"/>
      <c r="F208" s="40"/>
    </row>
    <row r="209" spans="1:6" x14ac:dyDescent="0.25">
      <c r="A209" s="37"/>
      <c r="B209" s="37"/>
      <c r="F209" s="40"/>
    </row>
    <row r="210" spans="1:6" x14ac:dyDescent="0.25">
      <c r="A210" s="37"/>
      <c r="B210" s="37"/>
      <c r="F210" s="40"/>
    </row>
    <row r="211" spans="1:6" x14ac:dyDescent="0.25">
      <c r="A211" s="37"/>
      <c r="B211" s="37"/>
      <c r="F211" s="40"/>
    </row>
    <row r="212" spans="1:6" x14ac:dyDescent="0.25">
      <c r="A212" s="37"/>
      <c r="B212" s="37"/>
      <c r="F212" s="40"/>
    </row>
    <row r="213" spans="1:6" x14ac:dyDescent="0.25">
      <c r="A213" s="37"/>
      <c r="B213" s="37"/>
      <c r="F213" s="40"/>
    </row>
    <row r="214" spans="1:6" x14ac:dyDescent="0.25">
      <c r="A214" s="37"/>
      <c r="B214" s="37"/>
      <c r="F214" s="40"/>
    </row>
    <row r="215" spans="1:6" x14ac:dyDescent="0.25">
      <c r="A215" s="37"/>
      <c r="B215" s="37"/>
      <c r="F215" s="40"/>
    </row>
    <row r="216" spans="1:6" x14ac:dyDescent="0.25">
      <c r="A216" s="37"/>
      <c r="B216" s="37"/>
      <c r="F216" s="40"/>
    </row>
    <row r="217" spans="1:6" x14ac:dyDescent="0.25">
      <c r="A217" s="37"/>
      <c r="B217" s="37"/>
      <c r="F217" s="40"/>
    </row>
    <row r="218" spans="1:6" x14ac:dyDescent="0.25">
      <c r="A218" s="37"/>
      <c r="B218" s="37"/>
      <c r="F218" s="40"/>
    </row>
    <row r="219" spans="1:6" x14ac:dyDescent="0.25">
      <c r="A219" s="37"/>
      <c r="B219" s="37"/>
      <c r="F219" s="40"/>
    </row>
    <row r="220" spans="1:6" x14ac:dyDescent="0.25">
      <c r="A220" s="37"/>
      <c r="B220" s="37"/>
      <c r="F220" s="40"/>
    </row>
    <row r="221" spans="1:6" x14ac:dyDescent="0.25">
      <c r="A221" s="37"/>
      <c r="B221" s="37"/>
      <c r="F221" s="40"/>
    </row>
    <row r="222" spans="1:6" x14ac:dyDescent="0.25">
      <c r="A222" s="37"/>
      <c r="B222" s="37"/>
      <c r="F222" s="40"/>
    </row>
    <row r="223" spans="1:6" x14ac:dyDescent="0.25">
      <c r="A223" s="37"/>
      <c r="B223" s="37"/>
      <c r="F223" s="40"/>
    </row>
    <row r="224" spans="1:6" x14ac:dyDescent="0.25">
      <c r="A224" s="37"/>
      <c r="B224" s="37"/>
      <c r="F224" s="40"/>
    </row>
    <row r="225" spans="1:6" x14ac:dyDescent="0.25">
      <c r="A225" s="37"/>
      <c r="B225" s="37"/>
      <c r="F225" s="40"/>
    </row>
    <row r="226" spans="1:6" x14ac:dyDescent="0.25">
      <c r="A226" s="37"/>
      <c r="B226" s="37"/>
      <c r="F226" s="40"/>
    </row>
    <row r="227" spans="1:6" x14ac:dyDescent="0.25">
      <c r="A227" s="37"/>
      <c r="B227" s="37"/>
      <c r="F227" s="40"/>
    </row>
    <row r="228" spans="1:6" x14ac:dyDescent="0.25">
      <c r="A228" s="37"/>
      <c r="B228" s="37"/>
      <c r="F228" s="40"/>
    </row>
    <row r="229" spans="1:6" x14ac:dyDescent="0.25">
      <c r="A229" s="37"/>
      <c r="B229" s="37"/>
      <c r="F229" s="40"/>
    </row>
    <row r="230" spans="1:6" x14ac:dyDescent="0.25">
      <c r="A230" s="37"/>
      <c r="B230" s="37"/>
      <c r="F230" s="40"/>
    </row>
    <row r="231" spans="1:6" x14ac:dyDescent="0.25">
      <c r="A231" s="37"/>
      <c r="B231" s="37"/>
      <c r="F231" s="40"/>
    </row>
    <row r="232" spans="1:6" x14ac:dyDescent="0.25">
      <c r="A232" s="37"/>
      <c r="B232" s="37"/>
      <c r="F232" s="40"/>
    </row>
    <row r="233" spans="1:6" x14ac:dyDescent="0.25">
      <c r="A233" s="37"/>
      <c r="B233" s="37"/>
      <c r="F233" s="40"/>
    </row>
    <row r="234" spans="1:6" x14ac:dyDescent="0.25">
      <c r="A234" s="37"/>
      <c r="B234" s="37"/>
      <c r="F234" s="40"/>
    </row>
    <row r="235" spans="1:6" x14ac:dyDescent="0.25">
      <c r="A235" s="37"/>
      <c r="B235" s="37"/>
      <c r="F235" s="40"/>
    </row>
    <row r="236" spans="1:6" x14ac:dyDescent="0.25">
      <c r="A236" s="37"/>
      <c r="B236" s="37"/>
      <c r="F236" s="40"/>
    </row>
    <row r="237" spans="1:6" x14ac:dyDescent="0.25">
      <c r="A237" s="37"/>
      <c r="B237" s="37"/>
      <c r="F237" s="40"/>
    </row>
    <row r="238" spans="1:6" x14ac:dyDescent="0.25">
      <c r="A238" s="37"/>
      <c r="B238" s="37"/>
      <c r="F238" s="40"/>
    </row>
    <row r="239" spans="1:6" x14ac:dyDescent="0.25">
      <c r="A239" s="37"/>
      <c r="B239" s="37"/>
      <c r="F239" s="40"/>
    </row>
    <row r="240" spans="1:6" x14ac:dyDescent="0.25">
      <c r="A240" s="37"/>
      <c r="B240" s="37"/>
      <c r="F240" s="40"/>
    </row>
    <row r="241" spans="1:6" x14ac:dyDescent="0.25">
      <c r="A241" s="37"/>
      <c r="B241" s="37"/>
      <c r="F241" s="40"/>
    </row>
    <row r="242" spans="1:6" x14ac:dyDescent="0.25">
      <c r="A242" s="37"/>
      <c r="B242" s="37"/>
      <c r="F242" s="40"/>
    </row>
    <row r="243" spans="1:6" x14ac:dyDescent="0.25">
      <c r="A243" s="37"/>
      <c r="B243" s="37"/>
      <c r="F243" s="40"/>
    </row>
    <row r="244" spans="1:6" x14ac:dyDescent="0.25">
      <c r="A244" s="37"/>
      <c r="B244" s="37"/>
      <c r="F244" s="40"/>
    </row>
    <row r="245" spans="1:6" x14ac:dyDescent="0.25">
      <c r="A245" s="37"/>
      <c r="B245" s="37"/>
      <c r="F245" s="40"/>
    </row>
    <row r="246" spans="1:6" x14ac:dyDescent="0.25">
      <c r="A246" s="37"/>
      <c r="B246" s="37"/>
      <c r="F246" s="40"/>
    </row>
    <row r="247" spans="1:6" x14ac:dyDescent="0.25">
      <c r="A247" s="37"/>
      <c r="B247" s="37"/>
      <c r="F247" s="40"/>
    </row>
    <row r="248" spans="1:6" x14ac:dyDescent="0.25">
      <c r="A248" s="37"/>
      <c r="B248" s="37"/>
      <c r="F248" s="40"/>
    </row>
    <row r="249" spans="1:6" x14ac:dyDescent="0.25">
      <c r="A249" s="37"/>
      <c r="B249" s="37"/>
      <c r="F249" s="40"/>
    </row>
    <row r="250" spans="1:6" x14ac:dyDescent="0.25">
      <c r="A250" s="37"/>
      <c r="B250" s="37"/>
      <c r="F250" s="40"/>
    </row>
    <row r="251" spans="1:6" x14ac:dyDescent="0.25">
      <c r="A251" s="37"/>
      <c r="B251" s="37"/>
      <c r="F251" s="40"/>
    </row>
    <row r="252" spans="1:6" x14ac:dyDescent="0.25">
      <c r="A252" s="37"/>
      <c r="B252" s="37"/>
      <c r="F252" s="40"/>
    </row>
    <row r="253" spans="1:6" x14ac:dyDescent="0.25">
      <c r="A253" s="37"/>
      <c r="B253" s="37"/>
      <c r="F253" s="40"/>
    </row>
    <row r="254" spans="1:6" x14ac:dyDescent="0.25">
      <c r="A254" s="37"/>
      <c r="B254" s="37"/>
      <c r="F254" s="40"/>
    </row>
    <row r="255" spans="1:6" x14ac:dyDescent="0.25">
      <c r="A255" s="37"/>
      <c r="B255" s="37"/>
      <c r="F255" s="40"/>
    </row>
    <row r="256" spans="1:6" x14ac:dyDescent="0.25">
      <c r="A256" s="37"/>
      <c r="B256" s="37"/>
      <c r="F256" s="40"/>
    </row>
    <row r="257" spans="1:6" x14ac:dyDescent="0.25">
      <c r="A257" s="37"/>
      <c r="B257" s="37"/>
      <c r="F257" s="40"/>
    </row>
    <row r="258" spans="1:6" x14ac:dyDescent="0.25">
      <c r="A258" s="37"/>
      <c r="B258" s="37"/>
      <c r="F258" s="40"/>
    </row>
    <row r="259" spans="1:6" x14ac:dyDescent="0.25">
      <c r="A259" s="37"/>
      <c r="B259" s="37"/>
      <c r="F259" s="40"/>
    </row>
    <row r="260" spans="1:6" x14ac:dyDescent="0.25">
      <c r="A260" s="37"/>
      <c r="B260" s="37"/>
      <c r="F260" s="40"/>
    </row>
    <row r="261" spans="1:6" x14ac:dyDescent="0.25">
      <c r="A261" s="37"/>
      <c r="B261" s="37"/>
      <c r="F261" s="40"/>
    </row>
    <row r="262" spans="1:6" x14ac:dyDescent="0.25">
      <c r="A262" s="37"/>
      <c r="B262" s="37"/>
      <c r="F262" s="40"/>
    </row>
    <row r="263" spans="1:6" x14ac:dyDescent="0.25">
      <c r="A263" s="37"/>
      <c r="B263" s="37"/>
      <c r="F263" s="40"/>
    </row>
    <row r="264" spans="1:6" x14ac:dyDescent="0.25">
      <c r="A264" s="37"/>
      <c r="B264" s="37"/>
      <c r="F264" s="40"/>
    </row>
    <row r="265" spans="1:6" x14ac:dyDescent="0.25">
      <c r="A265" s="37"/>
      <c r="B265" s="37"/>
      <c r="F265" s="40"/>
    </row>
    <row r="266" spans="1:6" x14ac:dyDescent="0.25">
      <c r="A266" s="37"/>
      <c r="B266" s="37"/>
      <c r="F266" s="40"/>
    </row>
    <row r="267" spans="1:6" x14ac:dyDescent="0.25">
      <c r="A267" s="37"/>
      <c r="B267" s="37"/>
      <c r="F267" s="40"/>
    </row>
    <row r="268" spans="1:6" x14ac:dyDescent="0.25">
      <c r="A268" s="37"/>
      <c r="B268" s="37"/>
      <c r="F268" s="40"/>
    </row>
    <row r="269" spans="1:6" x14ac:dyDescent="0.25">
      <c r="A269" s="37"/>
      <c r="B269" s="37"/>
      <c r="F269" s="40"/>
    </row>
    <row r="270" spans="1:6" x14ac:dyDescent="0.25">
      <c r="A270" s="37"/>
      <c r="B270" s="37"/>
      <c r="F270" s="40"/>
    </row>
    <row r="271" spans="1:6" x14ac:dyDescent="0.25">
      <c r="A271" s="37"/>
      <c r="B271" s="37"/>
      <c r="F271" s="40"/>
    </row>
    <row r="272" spans="1:6" x14ac:dyDescent="0.25">
      <c r="A272" s="37"/>
      <c r="B272" s="37"/>
      <c r="F272" s="40"/>
    </row>
    <row r="273" spans="1:6" x14ac:dyDescent="0.25">
      <c r="A273" s="37"/>
      <c r="B273" s="37"/>
      <c r="F273" s="40"/>
    </row>
    <row r="274" spans="1:6" x14ac:dyDescent="0.25">
      <c r="A274" s="37"/>
      <c r="B274" s="37"/>
      <c r="F274" s="40"/>
    </row>
    <row r="275" spans="1:6" x14ac:dyDescent="0.25">
      <c r="A275" s="37"/>
      <c r="B275" s="37"/>
      <c r="F275" s="40"/>
    </row>
    <row r="276" spans="1:6" x14ac:dyDescent="0.25">
      <c r="A276" s="37"/>
      <c r="B276" s="37"/>
      <c r="F276" s="40"/>
    </row>
    <row r="277" spans="1:6" x14ac:dyDescent="0.25">
      <c r="A277" s="37"/>
      <c r="B277" s="37"/>
      <c r="F277" s="40"/>
    </row>
    <row r="278" spans="1:6" x14ac:dyDescent="0.25">
      <c r="A278" s="37"/>
      <c r="B278" s="37"/>
      <c r="F278" s="40"/>
    </row>
    <row r="279" spans="1:6" x14ac:dyDescent="0.25">
      <c r="A279" s="37"/>
      <c r="B279" s="37"/>
      <c r="F279" s="40"/>
    </row>
    <row r="280" spans="1:6" x14ac:dyDescent="0.25">
      <c r="A280" s="37"/>
      <c r="B280" s="37"/>
      <c r="F280" s="40"/>
    </row>
    <row r="281" spans="1:6" x14ac:dyDescent="0.25">
      <c r="A281" s="37"/>
      <c r="B281" s="37"/>
      <c r="F281" s="40"/>
    </row>
    <row r="282" spans="1:6" x14ac:dyDescent="0.25">
      <c r="A282" s="37"/>
      <c r="B282" s="37"/>
      <c r="F282" s="40"/>
    </row>
    <row r="283" spans="1:6" x14ac:dyDescent="0.25">
      <c r="A283" s="37"/>
      <c r="B283" s="37"/>
      <c r="F283" s="40"/>
    </row>
    <row r="284" spans="1:6" x14ac:dyDescent="0.25">
      <c r="A284" s="37"/>
      <c r="B284" s="37"/>
      <c r="F284" s="40"/>
    </row>
    <row r="285" spans="1:6" x14ac:dyDescent="0.25">
      <c r="A285" s="37"/>
      <c r="B285" s="37"/>
      <c r="F285" s="40"/>
    </row>
    <row r="286" spans="1:6" x14ac:dyDescent="0.25">
      <c r="A286" s="37"/>
      <c r="B286" s="37"/>
      <c r="F286" s="40"/>
    </row>
    <row r="287" spans="1:6" x14ac:dyDescent="0.25">
      <c r="A287" s="37"/>
      <c r="B287" s="37"/>
      <c r="F287" s="40"/>
    </row>
    <row r="288" spans="1:6" x14ac:dyDescent="0.25">
      <c r="A288" s="37"/>
      <c r="B288" s="37"/>
      <c r="F288" s="40"/>
    </row>
    <row r="289" spans="1:6" x14ac:dyDescent="0.25">
      <c r="A289" s="37"/>
      <c r="B289" s="37"/>
      <c r="F289" s="40"/>
    </row>
    <row r="290" spans="1:6" x14ac:dyDescent="0.25">
      <c r="A290" s="37"/>
      <c r="B290" s="37"/>
      <c r="F290" s="40"/>
    </row>
    <row r="291" spans="1:6" x14ac:dyDescent="0.25">
      <c r="A291" s="37"/>
      <c r="B291" s="37"/>
      <c r="F291" s="40"/>
    </row>
    <row r="292" spans="1:6" x14ac:dyDescent="0.25">
      <c r="A292" s="37"/>
      <c r="B292" s="37"/>
      <c r="F292" s="40"/>
    </row>
    <row r="293" spans="1:6" x14ac:dyDescent="0.25">
      <c r="A293" s="37"/>
      <c r="B293" s="37"/>
      <c r="F293" s="40"/>
    </row>
    <row r="294" spans="1:6" x14ac:dyDescent="0.25">
      <c r="A294" s="37"/>
      <c r="B294" s="37"/>
      <c r="F294" s="40"/>
    </row>
    <row r="295" spans="1:6" x14ac:dyDescent="0.25">
      <c r="A295" s="37"/>
      <c r="B295" s="37"/>
      <c r="F295" s="40"/>
    </row>
    <row r="296" spans="1:6" x14ac:dyDescent="0.25">
      <c r="A296" s="37"/>
      <c r="B296" s="37"/>
      <c r="F296" s="40"/>
    </row>
    <row r="297" spans="1:6" x14ac:dyDescent="0.25">
      <c r="A297" s="37"/>
      <c r="B297" s="37"/>
      <c r="F297" s="40"/>
    </row>
    <row r="298" spans="1:6" x14ac:dyDescent="0.25">
      <c r="A298" s="37"/>
      <c r="B298" s="37"/>
      <c r="F298" s="40"/>
    </row>
    <row r="299" spans="1:6" x14ac:dyDescent="0.25">
      <c r="A299" s="37"/>
      <c r="B299" s="37"/>
      <c r="F299" s="40"/>
    </row>
    <row r="300" spans="1:6" x14ac:dyDescent="0.25">
      <c r="A300" s="37"/>
      <c r="B300" s="37"/>
      <c r="F300" s="40"/>
    </row>
    <row r="301" spans="1:6" x14ac:dyDescent="0.25">
      <c r="A301" s="37"/>
      <c r="B301" s="37"/>
      <c r="F301" s="40"/>
    </row>
    <row r="302" spans="1:6" x14ac:dyDescent="0.25">
      <c r="A302" s="37"/>
      <c r="B302" s="37"/>
      <c r="F302" s="40"/>
    </row>
    <row r="303" spans="1:6" x14ac:dyDescent="0.25">
      <c r="A303" s="37"/>
      <c r="B303" s="37"/>
      <c r="F303" s="40"/>
    </row>
    <row r="304" spans="1:6" x14ac:dyDescent="0.25">
      <c r="A304" s="37"/>
      <c r="B304" s="37"/>
      <c r="F304" s="40"/>
    </row>
    <row r="305" spans="1:6" x14ac:dyDescent="0.25">
      <c r="A305" s="37"/>
      <c r="B305" s="37"/>
      <c r="F305" s="40"/>
    </row>
    <row r="306" spans="1:6" x14ac:dyDescent="0.25">
      <c r="A306" s="37"/>
      <c r="B306" s="37"/>
      <c r="F306" s="40"/>
    </row>
    <row r="307" spans="1:6" x14ac:dyDescent="0.25">
      <c r="A307" s="37"/>
      <c r="B307" s="37"/>
      <c r="F307" s="40"/>
    </row>
    <row r="308" spans="1:6" x14ac:dyDescent="0.25">
      <c r="A308" s="37"/>
      <c r="B308" s="37"/>
      <c r="F308" s="40"/>
    </row>
    <row r="309" spans="1:6" x14ac:dyDescent="0.25">
      <c r="A309" s="37"/>
      <c r="B309" s="37"/>
      <c r="F309" s="40"/>
    </row>
    <row r="310" spans="1:6" x14ac:dyDescent="0.25">
      <c r="A310" s="37"/>
      <c r="B310" s="37"/>
      <c r="F310" s="40"/>
    </row>
    <row r="311" spans="1:6" x14ac:dyDescent="0.25">
      <c r="A311" s="37"/>
      <c r="B311" s="37"/>
      <c r="F311" s="40"/>
    </row>
    <row r="312" spans="1:6" x14ac:dyDescent="0.25">
      <c r="A312" s="37"/>
      <c r="B312" s="37"/>
      <c r="F312" s="40"/>
    </row>
    <row r="313" spans="1:6" x14ac:dyDescent="0.25">
      <c r="A313" s="37"/>
      <c r="B313" s="37"/>
      <c r="F313" s="40"/>
    </row>
    <row r="314" spans="1:6" x14ac:dyDescent="0.25">
      <c r="A314" s="37"/>
      <c r="B314" s="37"/>
      <c r="F314" s="40"/>
    </row>
    <row r="315" spans="1:6" x14ac:dyDescent="0.25">
      <c r="A315" s="37"/>
      <c r="B315" s="37"/>
      <c r="F315" s="40"/>
    </row>
    <row r="316" spans="1:6" x14ac:dyDescent="0.25">
      <c r="A316" s="37"/>
      <c r="B316" s="37"/>
      <c r="F316" s="40"/>
    </row>
    <row r="317" spans="1:6" x14ac:dyDescent="0.25">
      <c r="A317" s="37"/>
      <c r="B317" s="37"/>
      <c r="F317" s="40"/>
    </row>
    <row r="318" spans="1:6" x14ac:dyDescent="0.25">
      <c r="A318" s="37"/>
      <c r="B318" s="37"/>
      <c r="F318" s="40"/>
    </row>
    <row r="319" spans="1:6" x14ac:dyDescent="0.25">
      <c r="A319" s="37"/>
      <c r="B319" s="37"/>
      <c r="F319" s="40"/>
    </row>
    <row r="320" spans="1:6" x14ac:dyDescent="0.25">
      <c r="A320" s="37"/>
      <c r="B320" s="37"/>
      <c r="F320" s="40"/>
    </row>
    <row r="321" spans="1:6" x14ac:dyDescent="0.25">
      <c r="A321" s="37"/>
      <c r="B321" s="37"/>
      <c r="F321" s="40"/>
    </row>
    <row r="322" spans="1:6" x14ac:dyDescent="0.25">
      <c r="A322" s="37"/>
      <c r="B322" s="37"/>
      <c r="F322" s="40"/>
    </row>
    <row r="323" spans="1:6" x14ac:dyDescent="0.25">
      <c r="A323" s="37"/>
      <c r="B323" s="37"/>
    </row>
    <row r="324" spans="1:6" x14ac:dyDescent="0.25">
      <c r="A324" s="37"/>
      <c r="B324" s="37"/>
    </row>
    <row r="325" spans="1:6" x14ac:dyDescent="0.25">
      <c r="A325" s="37"/>
      <c r="B325" s="37"/>
    </row>
    <row r="326" spans="1:6" x14ac:dyDescent="0.25">
      <c r="A326" s="37"/>
      <c r="B326" s="37"/>
    </row>
    <row r="327" spans="1:6" x14ac:dyDescent="0.25">
      <c r="A327" s="37"/>
      <c r="B327" s="37"/>
    </row>
    <row r="328" spans="1:6" x14ac:dyDescent="0.25">
      <c r="A328" s="37"/>
      <c r="B328" s="37"/>
    </row>
    <row r="329" spans="1:6" x14ac:dyDescent="0.25">
      <c r="A329" s="37"/>
      <c r="B329" s="37"/>
    </row>
    <row r="330" spans="1:6" x14ac:dyDescent="0.25">
      <c r="A330" s="37"/>
      <c r="B330" s="37"/>
    </row>
    <row r="331" spans="1:6" x14ac:dyDescent="0.25">
      <c r="A331" s="37"/>
      <c r="B331" s="37"/>
    </row>
    <row r="332" spans="1:6" x14ac:dyDescent="0.25">
      <c r="A332" s="37"/>
      <c r="B332" s="37"/>
    </row>
    <row r="333" spans="1:6" x14ac:dyDescent="0.25">
      <c r="A333" s="37"/>
      <c r="B333" s="37"/>
      <c r="C333" s="38"/>
    </row>
    <row r="334" spans="1:6" x14ac:dyDescent="0.25">
      <c r="A334" s="37"/>
      <c r="B334" s="37"/>
    </row>
    <row r="335" spans="1:6" x14ac:dyDescent="0.25">
      <c r="A335" s="37"/>
      <c r="B335" s="37"/>
    </row>
    <row r="336" spans="1:6" x14ac:dyDescent="0.25">
      <c r="A336" s="37"/>
      <c r="B336" s="37"/>
    </row>
    <row r="337" spans="1:2" x14ac:dyDescent="0.25">
      <c r="A337" s="37"/>
      <c r="B337" s="37"/>
    </row>
    <row r="338" spans="1:2" x14ac:dyDescent="0.25">
      <c r="A338" s="37"/>
      <c r="B338" s="37"/>
    </row>
    <row r="339" spans="1:2" x14ac:dyDescent="0.25">
      <c r="A339" s="37"/>
      <c r="B339" s="37"/>
    </row>
    <row r="340" spans="1:2" x14ac:dyDescent="0.25">
      <c r="A340" s="37"/>
      <c r="B340" s="37"/>
    </row>
    <row r="341" spans="1:2" x14ac:dyDescent="0.25">
      <c r="A341" s="37"/>
      <c r="B341" s="37"/>
    </row>
    <row r="342" spans="1:2" x14ac:dyDescent="0.25">
      <c r="A342" s="37"/>
      <c r="B342" s="37"/>
    </row>
    <row r="343" spans="1:2" x14ac:dyDescent="0.25">
      <c r="A343" s="37"/>
      <c r="B343" s="37"/>
    </row>
    <row r="344" spans="1:2" x14ac:dyDescent="0.25">
      <c r="A344" s="37"/>
      <c r="B344" s="37"/>
    </row>
    <row r="345" spans="1:2" x14ac:dyDescent="0.25">
      <c r="A345" s="37"/>
      <c r="B345" s="37"/>
    </row>
    <row r="346" spans="1:2" x14ac:dyDescent="0.25">
      <c r="A346" s="37"/>
      <c r="B346" s="37"/>
    </row>
    <row r="347" spans="1:2" x14ac:dyDescent="0.25">
      <c r="A347" s="37"/>
      <c r="B347" s="37"/>
    </row>
    <row r="348" spans="1:2" x14ac:dyDescent="0.25">
      <c r="A348" s="37"/>
      <c r="B348" s="39"/>
    </row>
    <row r="349" spans="1:2" x14ac:dyDescent="0.25">
      <c r="A349" s="37"/>
      <c r="B349" s="37"/>
    </row>
    <row r="350" spans="1:2" x14ac:dyDescent="0.25">
      <c r="A350" s="37"/>
      <c r="B350" s="37"/>
    </row>
    <row r="351" spans="1:2" x14ac:dyDescent="0.25">
      <c r="A351" s="37"/>
      <c r="B351" s="37"/>
    </row>
    <row r="352" spans="1:2" x14ac:dyDescent="0.25">
      <c r="A352" s="37"/>
      <c r="B352" s="37"/>
    </row>
    <row r="353" spans="1:2" x14ac:dyDescent="0.25">
      <c r="A353" s="37"/>
      <c r="B353" s="37"/>
    </row>
    <row r="354" spans="1:2" x14ac:dyDescent="0.25">
      <c r="A354" s="37"/>
      <c r="B354" s="37"/>
    </row>
    <row r="355" spans="1:2" x14ac:dyDescent="0.25">
      <c r="A355" s="37"/>
      <c r="B355" s="37"/>
    </row>
    <row r="356" spans="1:2" x14ac:dyDescent="0.25">
      <c r="A356" s="37"/>
      <c r="B356" s="37"/>
    </row>
    <row r="357" spans="1:2" x14ac:dyDescent="0.25">
      <c r="A357" s="37"/>
      <c r="B357" s="37"/>
    </row>
    <row r="358" spans="1:2" x14ac:dyDescent="0.25">
      <c r="A358" s="37"/>
      <c r="B358" s="37"/>
    </row>
    <row r="359" spans="1:2" x14ac:dyDescent="0.25">
      <c r="A359" s="37"/>
      <c r="B359" s="37"/>
    </row>
    <row r="360" spans="1:2" x14ac:dyDescent="0.25">
      <c r="A360" s="37"/>
      <c r="B360" s="37"/>
    </row>
    <row r="361" spans="1:2" x14ac:dyDescent="0.25">
      <c r="A361" s="37"/>
      <c r="B361" s="37"/>
    </row>
    <row r="362" spans="1:2" x14ac:dyDescent="0.25">
      <c r="A362" s="37"/>
      <c r="B362" s="37"/>
    </row>
    <row r="363" spans="1:2" x14ac:dyDescent="0.25">
      <c r="A363" s="37"/>
      <c r="B363" s="37"/>
    </row>
    <row r="364" spans="1:2" x14ac:dyDescent="0.25">
      <c r="A364" s="37"/>
      <c r="B364" s="37"/>
    </row>
    <row r="365" spans="1:2" x14ac:dyDescent="0.25">
      <c r="A365" s="37"/>
      <c r="B365" s="37"/>
    </row>
    <row r="366" spans="1:2" x14ac:dyDescent="0.25">
      <c r="A366" s="37"/>
      <c r="B366" s="37"/>
    </row>
    <row r="367" spans="1:2" x14ac:dyDescent="0.25">
      <c r="A367" s="37"/>
      <c r="B367" s="37"/>
    </row>
    <row r="368" spans="1:2" x14ac:dyDescent="0.25">
      <c r="A368" s="37"/>
      <c r="B368" s="37"/>
    </row>
    <row r="369" spans="1:2" x14ac:dyDescent="0.25">
      <c r="A369" s="37"/>
      <c r="B369" s="37"/>
    </row>
    <row r="370" spans="1:2" x14ac:dyDescent="0.25">
      <c r="A370" s="37"/>
      <c r="B370" s="37"/>
    </row>
    <row r="371" spans="1:2" x14ac:dyDescent="0.25">
      <c r="A371" s="37"/>
      <c r="B371" s="37"/>
    </row>
    <row r="372" spans="1:2" x14ac:dyDescent="0.25">
      <c r="A372" s="37"/>
      <c r="B372" s="37"/>
    </row>
    <row r="373" spans="1:2" x14ac:dyDescent="0.25">
      <c r="A373" s="37"/>
      <c r="B373" s="37"/>
    </row>
    <row r="374" spans="1:2" x14ac:dyDescent="0.25">
      <c r="A374" s="37"/>
      <c r="B374" s="37"/>
    </row>
    <row r="375" spans="1:2" x14ac:dyDescent="0.25">
      <c r="A375" s="37"/>
      <c r="B375" s="37"/>
    </row>
    <row r="376" spans="1:2" x14ac:dyDescent="0.25">
      <c r="A376" s="37"/>
      <c r="B376" s="37"/>
    </row>
    <row r="377" spans="1:2" x14ac:dyDescent="0.25">
      <c r="A377" s="37"/>
      <c r="B377" s="37"/>
    </row>
    <row r="378" spans="1:2" x14ac:dyDescent="0.25">
      <c r="A378" s="37"/>
      <c r="B378" s="37"/>
    </row>
    <row r="379" spans="1:2" x14ac:dyDescent="0.25">
      <c r="A379" s="37"/>
      <c r="B379" s="37"/>
    </row>
    <row r="380" spans="1:2" x14ac:dyDescent="0.25">
      <c r="A380" s="37"/>
      <c r="B380" s="37"/>
    </row>
    <row r="381" spans="1:2" x14ac:dyDescent="0.25">
      <c r="A381" s="37"/>
      <c r="B381" s="37"/>
    </row>
    <row r="382" spans="1:2" x14ac:dyDescent="0.25">
      <c r="A382" s="37"/>
      <c r="B382" s="37"/>
    </row>
    <row r="383" spans="1:2" x14ac:dyDescent="0.25">
      <c r="A383" s="37"/>
      <c r="B383" s="37"/>
    </row>
    <row r="384" spans="1:2" x14ac:dyDescent="0.25">
      <c r="A384" s="37"/>
      <c r="B384" s="37"/>
    </row>
    <row r="385" spans="1:2" x14ac:dyDescent="0.25">
      <c r="A385" s="37"/>
      <c r="B385" s="37"/>
    </row>
    <row r="386" spans="1:2" x14ac:dyDescent="0.25">
      <c r="A386" s="37"/>
      <c r="B386" s="37"/>
    </row>
    <row r="387" spans="1:2" x14ac:dyDescent="0.25">
      <c r="A387" s="37"/>
      <c r="B387" s="37"/>
    </row>
    <row r="388" spans="1:2" x14ac:dyDescent="0.25">
      <c r="A388" s="37"/>
      <c r="B388" s="37"/>
    </row>
    <row r="389" spans="1:2" x14ac:dyDescent="0.25">
      <c r="A389" s="37"/>
      <c r="B389" s="37"/>
    </row>
    <row r="390" spans="1:2" x14ac:dyDescent="0.25">
      <c r="A390" s="37"/>
      <c r="B390" s="37"/>
    </row>
    <row r="391" spans="1:2" x14ac:dyDescent="0.25">
      <c r="A391" s="37"/>
      <c r="B391" s="37"/>
    </row>
    <row r="392" spans="1:2" x14ac:dyDescent="0.25">
      <c r="A392" s="37"/>
      <c r="B392" s="37"/>
    </row>
    <row r="393" spans="1:2" x14ac:dyDescent="0.25">
      <c r="A393" s="37"/>
      <c r="B393" s="37"/>
    </row>
    <row r="394" spans="1:2" x14ac:dyDescent="0.25">
      <c r="A394" s="37"/>
      <c r="B394" s="37"/>
    </row>
    <row r="395" spans="1:2" x14ac:dyDescent="0.25">
      <c r="A395" s="37"/>
      <c r="B395" s="37"/>
    </row>
    <row r="396" spans="1:2" x14ac:dyDescent="0.25">
      <c r="A396" s="37"/>
      <c r="B396" s="37"/>
    </row>
    <row r="397" spans="1:2" x14ac:dyDescent="0.25">
      <c r="A397" s="37"/>
      <c r="B397" s="37"/>
    </row>
    <row r="398" spans="1:2" x14ac:dyDescent="0.25">
      <c r="A398" s="37"/>
      <c r="B398" s="37"/>
    </row>
    <row r="399" spans="1:2" x14ac:dyDescent="0.25">
      <c r="A399" s="37"/>
      <c r="B399" s="37"/>
    </row>
    <row r="400" spans="1:2" x14ac:dyDescent="0.25">
      <c r="A400" s="37"/>
      <c r="B400" s="37"/>
    </row>
    <row r="401" spans="1:2" x14ac:dyDescent="0.25">
      <c r="A401" s="37"/>
      <c r="B401" s="37"/>
    </row>
    <row r="402" spans="1:2" x14ac:dyDescent="0.25">
      <c r="A402" s="37"/>
      <c r="B402" s="37"/>
    </row>
    <row r="403" spans="1:2" x14ac:dyDescent="0.25">
      <c r="A403" s="37"/>
      <c r="B403" s="37"/>
    </row>
    <row r="404" spans="1:2" x14ac:dyDescent="0.25">
      <c r="A404" s="37"/>
      <c r="B404" s="37"/>
    </row>
    <row r="405" spans="1:2" x14ac:dyDescent="0.25">
      <c r="A405" s="37"/>
      <c r="B405" s="37"/>
    </row>
    <row r="406" spans="1:2" x14ac:dyDescent="0.25">
      <c r="A406" s="37"/>
      <c r="B406" s="37"/>
    </row>
    <row r="407" spans="1:2" x14ac:dyDescent="0.25">
      <c r="A407" s="37"/>
      <c r="B407" s="37"/>
    </row>
    <row r="408" spans="1:2" x14ac:dyDescent="0.25">
      <c r="A408" s="37"/>
      <c r="B408" s="37"/>
    </row>
    <row r="409" spans="1:2" x14ac:dyDescent="0.25">
      <c r="A409" s="37"/>
      <c r="B409" s="37"/>
    </row>
    <row r="410" spans="1:2" x14ac:dyDescent="0.25">
      <c r="A410" s="37"/>
      <c r="B410" s="37"/>
    </row>
    <row r="411" spans="1:2" x14ac:dyDescent="0.25">
      <c r="A411" s="37"/>
      <c r="B411" s="37"/>
    </row>
    <row r="412" spans="1:2" x14ac:dyDescent="0.25">
      <c r="A412" s="37"/>
      <c r="B412" s="37"/>
    </row>
    <row r="413" spans="1:2" x14ac:dyDescent="0.25">
      <c r="A413" s="37"/>
      <c r="B413" s="37"/>
    </row>
    <row r="414" spans="1:2" x14ac:dyDescent="0.25">
      <c r="A414" s="37"/>
      <c r="B414" s="37"/>
    </row>
    <row r="415" spans="1:2" x14ac:dyDescent="0.25">
      <c r="A415" s="37"/>
      <c r="B415" s="37"/>
    </row>
    <row r="416" spans="1:2" x14ac:dyDescent="0.25">
      <c r="A416" s="37"/>
      <c r="B416" s="37"/>
    </row>
    <row r="417" spans="1:2" x14ac:dyDescent="0.25">
      <c r="A417" s="37"/>
      <c r="B417" s="37"/>
    </row>
    <row r="418" spans="1:2" x14ac:dyDescent="0.25">
      <c r="A418" s="37"/>
      <c r="B418" s="37"/>
    </row>
    <row r="419" spans="1:2" x14ac:dyDescent="0.25">
      <c r="A419" s="37"/>
      <c r="B419" s="37"/>
    </row>
    <row r="420" spans="1:2" x14ac:dyDescent="0.25">
      <c r="A420" s="37"/>
      <c r="B420" s="37"/>
    </row>
    <row r="421" spans="1:2" x14ac:dyDescent="0.25">
      <c r="A421" s="37"/>
      <c r="B421" s="37"/>
    </row>
    <row r="422" spans="1:2" x14ac:dyDescent="0.25">
      <c r="A422" s="37"/>
      <c r="B422" s="37"/>
    </row>
    <row r="423" spans="1:2" x14ac:dyDescent="0.25">
      <c r="A423" s="37"/>
      <c r="B423" s="37"/>
    </row>
    <row r="424" spans="1:2" x14ac:dyDescent="0.25">
      <c r="A424" s="37"/>
      <c r="B424" s="37"/>
    </row>
    <row r="425" spans="1:2" x14ac:dyDescent="0.25">
      <c r="A425" s="37"/>
      <c r="B425" s="37"/>
    </row>
    <row r="426" spans="1:2" x14ac:dyDescent="0.25">
      <c r="A426" s="37"/>
      <c r="B426" s="37"/>
    </row>
    <row r="427" spans="1:2" x14ac:dyDescent="0.25">
      <c r="A427" s="37"/>
      <c r="B427" s="37"/>
    </row>
    <row r="428" spans="1:2" x14ac:dyDescent="0.25">
      <c r="A428" s="37"/>
      <c r="B428" s="37"/>
    </row>
    <row r="429" spans="1:2" x14ac:dyDescent="0.25">
      <c r="A429" s="37"/>
      <c r="B429" s="37"/>
    </row>
    <row r="430" spans="1:2" x14ac:dyDescent="0.25">
      <c r="A430" s="37"/>
      <c r="B430" s="37"/>
    </row>
    <row r="431" spans="1:2" x14ac:dyDescent="0.25">
      <c r="A431" s="37"/>
      <c r="B431" s="37"/>
    </row>
    <row r="432" spans="1:2" x14ac:dyDescent="0.25">
      <c r="A432" s="37"/>
      <c r="B432" s="37"/>
    </row>
    <row r="433" spans="1:2" x14ac:dyDescent="0.25">
      <c r="A433" s="37"/>
      <c r="B433" s="37"/>
    </row>
    <row r="434" spans="1:2" x14ac:dyDescent="0.25">
      <c r="A434" s="37"/>
      <c r="B434" s="37"/>
    </row>
    <row r="435" spans="1:2" x14ac:dyDescent="0.25">
      <c r="A435" s="37"/>
      <c r="B435" s="37"/>
    </row>
    <row r="436" spans="1:2" x14ac:dyDescent="0.25">
      <c r="A436" s="37"/>
      <c r="B436" s="37"/>
    </row>
    <row r="437" spans="1:2" x14ac:dyDescent="0.25">
      <c r="A437" s="37"/>
      <c r="B437" s="37"/>
    </row>
    <row r="438" spans="1:2" x14ac:dyDescent="0.25">
      <c r="A438" s="37"/>
      <c r="B438" s="37"/>
    </row>
    <row r="439" spans="1:2" x14ac:dyDescent="0.25">
      <c r="A439" s="37"/>
      <c r="B439" s="37"/>
    </row>
    <row r="440" spans="1:2" x14ac:dyDescent="0.25">
      <c r="A440" s="37"/>
      <c r="B440" s="37"/>
    </row>
    <row r="441" spans="1:2" x14ac:dyDescent="0.25">
      <c r="A441" s="37"/>
      <c r="B441" s="37"/>
    </row>
    <row r="442" spans="1:2" x14ac:dyDescent="0.25">
      <c r="A442" s="37"/>
      <c r="B442" s="37"/>
    </row>
    <row r="443" spans="1:2" x14ac:dyDescent="0.25">
      <c r="A443" s="37"/>
      <c r="B443" s="37"/>
    </row>
    <row r="444" spans="1:2" x14ac:dyDescent="0.25">
      <c r="A444" s="37"/>
      <c r="B444" s="37"/>
    </row>
    <row r="445" spans="1:2" x14ac:dyDescent="0.25">
      <c r="A445" s="37"/>
      <c r="B445" s="37"/>
    </row>
    <row r="446" spans="1:2" x14ac:dyDescent="0.25">
      <c r="A446" s="37"/>
      <c r="B446" s="37"/>
    </row>
    <row r="447" spans="1:2" x14ac:dyDescent="0.25">
      <c r="A447" s="37"/>
      <c r="B447" s="37"/>
    </row>
    <row r="448" spans="1:2" x14ac:dyDescent="0.25">
      <c r="A448" s="37"/>
      <c r="B448" s="37"/>
    </row>
    <row r="449" spans="1:2" x14ac:dyDescent="0.25">
      <c r="A449" s="37"/>
      <c r="B449" s="37"/>
    </row>
    <row r="450" spans="1:2" x14ac:dyDescent="0.25">
      <c r="A450" s="37"/>
      <c r="B450" s="37"/>
    </row>
    <row r="451" spans="1:2" x14ac:dyDescent="0.25">
      <c r="A451" s="37"/>
      <c r="B451" s="37"/>
    </row>
    <row r="452" spans="1:2" x14ac:dyDescent="0.25">
      <c r="A452" s="37"/>
      <c r="B452" s="37"/>
    </row>
    <row r="453" spans="1:2" x14ac:dyDescent="0.25">
      <c r="A453" s="37"/>
      <c r="B453" s="37"/>
    </row>
    <row r="454" spans="1:2" x14ac:dyDescent="0.25">
      <c r="A454" s="37"/>
      <c r="B454" s="37"/>
    </row>
    <row r="455" spans="1:2" x14ac:dyDescent="0.25">
      <c r="A455" s="37"/>
      <c r="B455" s="37"/>
    </row>
    <row r="456" spans="1:2" x14ac:dyDescent="0.25">
      <c r="A456" s="37"/>
      <c r="B456" s="37"/>
    </row>
    <row r="457" spans="1:2" x14ac:dyDescent="0.25">
      <c r="A457" s="37"/>
      <c r="B457" s="37"/>
    </row>
    <row r="458" spans="1:2" x14ac:dyDescent="0.25">
      <c r="A458" s="37"/>
      <c r="B458" s="37"/>
    </row>
    <row r="459" spans="1:2" x14ac:dyDescent="0.25">
      <c r="A459" s="37"/>
      <c r="B459" s="37"/>
    </row>
    <row r="460" spans="1:2" x14ac:dyDescent="0.25">
      <c r="A460" s="37"/>
      <c r="B460" s="37"/>
    </row>
    <row r="461" spans="1:2" x14ac:dyDescent="0.25">
      <c r="A461" s="37"/>
      <c r="B461" s="37"/>
    </row>
    <row r="462" spans="1:2" x14ac:dyDescent="0.25">
      <c r="A462" s="37"/>
      <c r="B462" s="37"/>
    </row>
    <row r="463" spans="1:2" x14ac:dyDescent="0.25">
      <c r="A463" s="37"/>
      <c r="B463" s="37"/>
    </row>
    <row r="464" spans="1:2" x14ac:dyDescent="0.25">
      <c r="A464" s="37"/>
      <c r="B464" s="37"/>
    </row>
    <row r="465" spans="1:2" x14ac:dyDescent="0.25">
      <c r="A465" s="37"/>
      <c r="B465" s="37"/>
    </row>
    <row r="466" spans="1:2" x14ac:dyDescent="0.25">
      <c r="A466" s="37"/>
      <c r="B466" s="37"/>
    </row>
    <row r="467" spans="1:2" x14ac:dyDescent="0.25">
      <c r="A467" s="37"/>
      <c r="B467" s="37"/>
    </row>
    <row r="468" spans="1:2" x14ac:dyDescent="0.25">
      <c r="A468" s="37"/>
      <c r="B468" s="37"/>
    </row>
    <row r="469" spans="1:2" x14ac:dyDescent="0.25">
      <c r="A469" s="37"/>
      <c r="B469" s="37"/>
    </row>
    <row r="470" spans="1:2" x14ac:dyDescent="0.25">
      <c r="A470" s="37"/>
      <c r="B470" s="37"/>
    </row>
    <row r="471" spans="1:2" x14ac:dyDescent="0.25">
      <c r="A471" s="37"/>
      <c r="B471" s="37"/>
    </row>
    <row r="472" spans="1:2" x14ac:dyDescent="0.25">
      <c r="A472" s="37"/>
      <c r="B472" s="37"/>
    </row>
    <row r="473" spans="1:2" x14ac:dyDescent="0.25">
      <c r="A473" s="37"/>
      <c r="B473" s="37"/>
    </row>
    <row r="474" spans="1:2" x14ac:dyDescent="0.25">
      <c r="A474" s="37"/>
      <c r="B474" s="37"/>
    </row>
    <row r="475" spans="1:2" x14ac:dyDescent="0.25">
      <c r="A475" s="37"/>
      <c r="B475" s="37"/>
    </row>
    <row r="476" spans="1:2" x14ac:dyDescent="0.25">
      <c r="A476" s="37"/>
      <c r="B476" s="37"/>
    </row>
    <row r="477" spans="1:2" x14ac:dyDescent="0.25">
      <c r="A477" s="37"/>
      <c r="B477" s="37"/>
    </row>
    <row r="478" spans="1:2" x14ac:dyDescent="0.25">
      <c r="A478" s="37"/>
      <c r="B478" s="37"/>
    </row>
    <row r="479" spans="1:2" x14ac:dyDescent="0.25">
      <c r="A479" s="37"/>
      <c r="B479" s="37"/>
    </row>
    <row r="480" spans="1:2" x14ac:dyDescent="0.25">
      <c r="A480" s="37"/>
      <c r="B480" s="37"/>
    </row>
    <row r="481" spans="1:2" x14ac:dyDescent="0.25">
      <c r="A481" s="37"/>
      <c r="B481" s="37"/>
    </row>
    <row r="482" spans="1:2" x14ac:dyDescent="0.25">
      <c r="A482" s="37"/>
      <c r="B482" s="37"/>
    </row>
    <row r="483" spans="1:2" x14ac:dyDescent="0.25">
      <c r="A483" s="37"/>
      <c r="B483" s="37"/>
    </row>
    <row r="484" spans="1:2" x14ac:dyDescent="0.25">
      <c r="A484" s="37"/>
      <c r="B484" s="37"/>
    </row>
    <row r="485" spans="1:2" x14ac:dyDescent="0.25">
      <c r="A485" s="37"/>
      <c r="B485" s="37"/>
    </row>
    <row r="486" spans="1:2" x14ac:dyDescent="0.25">
      <c r="A486" s="37"/>
      <c r="B486" s="37"/>
    </row>
    <row r="487" spans="1:2" x14ac:dyDescent="0.25">
      <c r="A487" s="37"/>
      <c r="B487" s="37"/>
    </row>
    <row r="488" spans="1:2" x14ac:dyDescent="0.25">
      <c r="A488" s="37"/>
      <c r="B488" s="37"/>
    </row>
    <row r="489" spans="1:2" x14ac:dyDescent="0.25">
      <c r="A489" s="37"/>
      <c r="B489" s="37"/>
    </row>
    <row r="490" spans="1:2" x14ac:dyDescent="0.25">
      <c r="A490" s="37"/>
      <c r="B490" s="37"/>
    </row>
    <row r="491" spans="1:2" x14ac:dyDescent="0.25">
      <c r="A491" s="37"/>
      <c r="B491" s="37"/>
    </row>
    <row r="492" spans="1:2" x14ac:dyDescent="0.25">
      <c r="A492" s="37"/>
      <c r="B492" s="37"/>
    </row>
    <row r="493" spans="1:2" x14ac:dyDescent="0.25">
      <c r="A493" s="37"/>
      <c r="B493" s="37"/>
    </row>
    <row r="494" spans="1:2" x14ac:dyDescent="0.25">
      <c r="A494" s="37"/>
      <c r="B494" s="37"/>
    </row>
    <row r="495" spans="1:2" x14ac:dyDescent="0.25">
      <c r="A495" s="37"/>
      <c r="B495" s="37"/>
    </row>
    <row r="496" spans="1:2" x14ac:dyDescent="0.25">
      <c r="A496" s="37"/>
      <c r="B496" s="37"/>
    </row>
    <row r="497" spans="1:2" x14ac:dyDescent="0.25">
      <c r="A497" s="37"/>
      <c r="B497" s="37"/>
    </row>
    <row r="498" spans="1:2" x14ac:dyDescent="0.25">
      <c r="A498" s="37"/>
      <c r="B498" s="37"/>
    </row>
    <row r="499" spans="1:2" x14ac:dyDescent="0.25">
      <c r="A499" s="37"/>
      <c r="B499" s="37"/>
    </row>
    <row r="500" spans="1:2" x14ac:dyDescent="0.25">
      <c r="A500" s="37"/>
      <c r="B500" s="37"/>
    </row>
    <row r="501" spans="1:2" x14ac:dyDescent="0.25">
      <c r="A501" s="37"/>
      <c r="B501" s="37"/>
    </row>
    <row r="502" spans="1:2" x14ac:dyDescent="0.25">
      <c r="A502" s="37"/>
      <c r="B502" s="37"/>
    </row>
    <row r="503" spans="1:2" x14ac:dyDescent="0.25">
      <c r="A503" s="37"/>
      <c r="B503" s="37"/>
    </row>
    <row r="504" spans="1:2" x14ac:dyDescent="0.25">
      <c r="A504" s="37"/>
      <c r="B504" s="37"/>
    </row>
    <row r="505" spans="1:2" x14ac:dyDescent="0.25">
      <c r="A505" s="37"/>
      <c r="B505" s="37"/>
    </row>
    <row r="506" spans="1:2" x14ac:dyDescent="0.25">
      <c r="A506" s="37"/>
      <c r="B506" s="37"/>
    </row>
    <row r="507" spans="1:2" x14ac:dyDescent="0.25">
      <c r="A507" s="37"/>
      <c r="B507" s="37"/>
    </row>
    <row r="508" spans="1:2" x14ac:dyDescent="0.25">
      <c r="A508" s="37"/>
      <c r="B508" s="37"/>
    </row>
    <row r="509" spans="1:2" x14ac:dyDescent="0.25">
      <c r="A509" s="37"/>
      <c r="B509" s="37"/>
    </row>
    <row r="510" spans="1:2" x14ac:dyDescent="0.25">
      <c r="A510" s="37"/>
      <c r="B510" s="37"/>
    </row>
    <row r="511" spans="1:2" x14ac:dyDescent="0.25">
      <c r="A511" s="37"/>
      <c r="B511" s="37"/>
    </row>
    <row r="512" spans="1:2" x14ac:dyDescent="0.25">
      <c r="A512" s="37"/>
      <c r="B512" s="37"/>
    </row>
    <row r="513" spans="1:2" x14ac:dyDescent="0.25">
      <c r="A513" s="37"/>
      <c r="B513" s="37"/>
    </row>
    <row r="514" spans="1:2" x14ac:dyDescent="0.25">
      <c r="A514" s="37"/>
      <c r="B514" s="37"/>
    </row>
    <row r="515" spans="1:2" x14ac:dyDescent="0.25">
      <c r="A515" s="37"/>
      <c r="B515" s="37"/>
    </row>
    <row r="516" spans="1:2" x14ac:dyDescent="0.25">
      <c r="A516" s="37"/>
      <c r="B516" s="37"/>
    </row>
    <row r="517" spans="1:2" x14ac:dyDescent="0.25">
      <c r="A517" s="37"/>
      <c r="B517" s="37"/>
    </row>
    <row r="518" spans="1:2" x14ac:dyDescent="0.25">
      <c r="A518" s="37"/>
      <c r="B518" s="37"/>
    </row>
    <row r="519" spans="1:2" x14ac:dyDescent="0.25">
      <c r="A519" s="37"/>
      <c r="B519" s="37"/>
    </row>
    <row r="520" spans="1:2" x14ac:dyDescent="0.25">
      <c r="A520" s="37"/>
      <c r="B520" s="37"/>
    </row>
    <row r="521" spans="1:2" x14ac:dyDescent="0.25">
      <c r="A521" s="37"/>
      <c r="B521" s="37"/>
    </row>
    <row r="522" spans="1:2" x14ac:dyDescent="0.25">
      <c r="A522" s="37"/>
      <c r="B522" s="37"/>
    </row>
    <row r="523" spans="1:2" x14ac:dyDescent="0.25">
      <c r="A523" s="37"/>
      <c r="B523" s="37"/>
    </row>
    <row r="524" spans="1:2" x14ac:dyDescent="0.25">
      <c r="A524" s="37"/>
      <c r="B524" s="37"/>
    </row>
    <row r="525" spans="1:2" x14ac:dyDescent="0.25">
      <c r="A525" s="37"/>
      <c r="B525" s="37"/>
    </row>
    <row r="526" spans="1:2" x14ac:dyDescent="0.25">
      <c r="A526" s="37"/>
      <c r="B526" s="37"/>
    </row>
    <row r="527" spans="1:2" x14ac:dyDescent="0.25">
      <c r="A527" s="37"/>
      <c r="B527" s="37"/>
    </row>
    <row r="528" spans="1:2" x14ac:dyDescent="0.25">
      <c r="A528" s="37"/>
      <c r="B528" s="37"/>
    </row>
    <row r="529" spans="1:2" x14ac:dyDescent="0.25">
      <c r="A529" s="37"/>
      <c r="B529" s="37"/>
    </row>
    <row r="530" spans="1:2" x14ac:dyDescent="0.25">
      <c r="A530" s="37"/>
      <c r="B530" s="37"/>
    </row>
    <row r="531" spans="1:2" x14ac:dyDescent="0.25">
      <c r="A531" s="37"/>
      <c r="B531" s="37"/>
    </row>
    <row r="532" spans="1:2" x14ac:dyDescent="0.25">
      <c r="A532" s="37"/>
      <c r="B532" s="37"/>
    </row>
    <row r="533" spans="1:2" x14ac:dyDescent="0.25">
      <c r="A533" s="37"/>
      <c r="B533" s="37"/>
    </row>
    <row r="534" spans="1:2" x14ac:dyDescent="0.25">
      <c r="A534" s="37"/>
      <c r="B534" s="37"/>
    </row>
    <row r="535" spans="1:2" x14ac:dyDescent="0.25">
      <c r="A535" s="37"/>
      <c r="B535" s="37"/>
    </row>
    <row r="536" spans="1:2" x14ac:dyDescent="0.25">
      <c r="A536" s="37"/>
      <c r="B536" s="37"/>
    </row>
    <row r="537" spans="1:2" x14ac:dyDescent="0.25">
      <c r="A537" s="37"/>
      <c r="B537" s="37"/>
    </row>
    <row r="538" spans="1:2" x14ac:dyDescent="0.25">
      <c r="A538" s="37"/>
      <c r="B538" s="37"/>
    </row>
    <row r="539" spans="1:2" x14ac:dyDescent="0.25">
      <c r="A539" s="37"/>
      <c r="B539" s="37"/>
    </row>
    <row r="540" spans="1:2" x14ac:dyDescent="0.25">
      <c r="A540" s="37"/>
      <c r="B540" s="37"/>
    </row>
    <row r="541" spans="1:2" x14ac:dyDescent="0.25">
      <c r="A541" s="37"/>
      <c r="B541" s="37"/>
    </row>
    <row r="542" spans="1:2" x14ac:dyDescent="0.25">
      <c r="A542" s="37"/>
      <c r="B542" s="37"/>
    </row>
    <row r="543" spans="1:2" x14ac:dyDescent="0.25">
      <c r="A543" s="37"/>
      <c r="B543" s="37"/>
    </row>
    <row r="544" spans="1:2" x14ac:dyDescent="0.25">
      <c r="A544" s="37"/>
      <c r="B544" s="37"/>
    </row>
    <row r="545" spans="1:2" x14ac:dyDescent="0.25">
      <c r="A545" s="37"/>
      <c r="B545" s="37"/>
    </row>
    <row r="546" spans="1:2" x14ac:dyDescent="0.25">
      <c r="A546" s="37"/>
      <c r="B546" s="37"/>
    </row>
    <row r="547" spans="1:2" x14ac:dyDescent="0.25">
      <c r="A547" s="37"/>
      <c r="B547" s="37"/>
    </row>
    <row r="548" spans="1:2" x14ac:dyDescent="0.25">
      <c r="A548" s="37"/>
      <c r="B548" s="37"/>
    </row>
    <row r="549" spans="1:2" x14ac:dyDescent="0.25">
      <c r="A549" s="37"/>
      <c r="B549" s="37"/>
    </row>
    <row r="550" spans="1:2" x14ac:dyDescent="0.25">
      <c r="A550" s="37"/>
      <c r="B550" s="37"/>
    </row>
    <row r="551" spans="1:2" x14ac:dyDescent="0.25">
      <c r="A551" s="37"/>
      <c r="B551" s="37"/>
    </row>
    <row r="552" spans="1:2" x14ac:dyDescent="0.25">
      <c r="A552" s="37"/>
      <c r="B552" s="37"/>
    </row>
    <row r="553" spans="1:2" x14ac:dyDescent="0.25">
      <c r="A553" s="37"/>
      <c r="B553" s="37"/>
    </row>
    <row r="554" spans="1:2" x14ac:dyDescent="0.25">
      <c r="A554" s="37"/>
      <c r="B554" s="37"/>
    </row>
    <row r="555" spans="1:2" x14ac:dyDescent="0.25">
      <c r="A555" s="37"/>
      <c r="B555" s="37"/>
    </row>
    <row r="556" spans="1:2" x14ac:dyDescent="0.25">
      <c r="A556" s="37"/>
      <c r="B556" s="37"/>
    </row>
    <row r="557" spans="1:2" x14ac:dyDescent="0.25">
      <c r="A557" s="37"/>
      <c r="B557" s="37"/>
    </row>
    <row r="558" spans="1:2" x14ac:dyDescent="0.25">
      <c r="A558" s="37"/>
      <c r="B558" s="37"/>
    </row>
    <row r="559" spans="1:2" x14ac:dyDescent="0.25">
      <c r="A559" s="37"/>
      <c r="B559" s="37"/>
    </row>
    <row r="560" spans="1:2" x14ac:dyDescent="0.25">
      <c r="A560" s="37"/>
      <c r="B560" s="37"/>
    </row>
    <row r="561" spans="1:2" x14ac:dyDescent="0.25">
      <c r="A561" s="37"/>
      <c r="B561" s="37"/>
    </row>
    <row r="562" spans="1:2" x14ac:dyDescent="0.25">
      <c r="A562" s="37"/>
      <c r="B562" s="37"/>
    </row>
    <row r="563" spans="1:2" x14ac:dyDescent="0.25">
      <c r="A563" s="37"/>
      <c r="B563" s="37"/>
    </row>
    <row r="564" spans="1:2" x14ac:dyDescent="0.25">
      <c r="A564" s="37"/>
      <c r="B564" s="37"/>
    </row>
    <row r="565" spans="1:2" x14ac:dyDescent="0.25">
      <c r="A565" s="37"/>
      <c r="B565" s="37"/>
    </row>
    <row r="566" spans="1:2" x14ac:dyDescent="0.25">
      <c r="A566" s="37"/>
      <c r="B566" s="37"/>
    </row>
    <row r="567" spans="1:2" x14ac:dyDescent="0.25">
      <c r="A567" s="37"/>
      <c r="B567" s="37"/>
    </row>
    <row r="568" spans="1:2" x14ac:dyDescent="0.25">
      <c r="A568" s="37"/>
      <c r="B568" s="37"/>
    </row>
    <row r="569" spans="1:2" x14ac:dyDescent="0.25">
      <c r="A569" s="37"/>
      <c r="B569" s="37"/>
    </row>
    <row r="570" spans="1:2" x14ac:dyDescent="0.25">
      <c r="A570" s="37"/>
      <c r="B570" s="37"/>
    </row>
    <row r="571" spans="1:2" x14ac:dyDescent="0.25">
      <c r="A571" s="37"/>
      <c r="B571" s="37"/>
    </row>
    <row r="572" spans="1:2" x14ac:dyDescent="0.25">
      <c r="A572" s="37"/>
      <c r="B572" s="37"/>
    </row>
    <row r="573" spans="1:2" x14ac:dyDescent="0.25">
      <c r="A573" s="37"/>
      <c r="B573" s="37"/>
    </row>
    <row r="574" spans="1:2" x14ac:dyDescent="0.25">
      <c r="A574" s="37"/>
      <c r="B574" s="37"/>
    </row>
    <row r="575" spans="1:2" x14ac:dyDescent="0.25">
      <c r="A575" s="37"/>
      <c r="B575" s="37"/>
    </row>
    <row r="576" spans="1:2" x14ac:dyDescent="0.25">
      <c r="A576" s="37"/>
      <c r="B576" s="37"/>
    </row>
    <row r="577" spans="1:2" x14ac:dyDescent="0.25">
      <c r="A577" s="37"/>
      <c r="B577" s="37"/>
    </row>
    <row r="578" spans="1:2" x14ac:dyDescent="0.25">
      <c r="A578" s="37"/>
      <c r="B578" s="37"/>
    </row>
    <row r="579" spans="1:2" x14ac:dyDescent="0.25">
      <c r="A579" s="37"/>
      <c r="B579" s="37"/>
    </row>
    <row r="580" spans="1:2" x14ac:dyDescent="0.25">
      <c r="A580" s="37"/>
      <c r="B580" s="37"/>
    </row>
    <row r="581" spans="1:2" x14ac:dyDescent="0.25">
      <c r="A581" s="37"/>
      <c r="B581" s="37"/>
    </row>
    <row r="582" spans="1:2" x14ac:dyDescent="0.25">
      <c r="A582" s="37"/>
      <c r="B582" s="37"/>
    </row>
    <row r="583" spans="1:2" x14ac:dyDescent="0.25">
      <c r="A583" s="37"/>
      <c r="B583" s="37"/>
    </row>
    <row r="584" spans="1:2" x14ac:dyDescent="0.25">
      <c r="A584" s="37"/>
      <c r="B584" s="37"/>
    </row>
    <row r="585" spans="1:2" x14ac:dyDescent="0.25">
      <c r="A585" s="37"/>
      <c r="B585" s="37"/>
    </row>
    <row r="586" spans="1:2" x14ac:dyDescent="0.25">
      <c r="A586" s="37"/>
      <c r="B586" s="37"/>
    </row>
    <row r="587" spans="1:2" x14ac:dyDescent="0.25">
      <c r="A587" s="37"/>
      <c r="B587" s="37"/>
    </row>
    <row r="588" spans="1:2" x14ac:dyDescent="0.25">
      <c r="A588" s="37"/>
      <c r="B588" s="37"/>
    </row>
    <row r="589" spans="1:2" x14ac:dyDescent="0.25">
      <c r="A589" s="37"/>
      <c r="B589" s="37"/>
    </row>
    <row r="590" spans="1:2" x14ac:dyDescent="0.25">
      <c r="A590" s="37"/>
      <c r="B590" s="37"/>
    </row>
    <row r="591" spans="1:2" x14ac:dyDescent="0.25">
      <c r="A591" s="37"/>
      <c r="B591" s="37"/>
    </row>
    <row r="592" spans="1:2" x14ac:dyDescent="0.25">
      <c r="A592" s="37"/>
      <c r="B592" s="37"/>
    </row>
    <row r="593" spans="1:2" x14ac:dyDescent="0.25">
      <c r="A593" s="37"/>
      <c r="B593" s="37"/>
    </row>
    <row r="594" spans="1:2" x14ac:dyDescent="0.25">
      <c r="A594" s="37"/>
      <c r="B594" s="37"/>
    </row>
    <row r="595" spans="1:2" x14ac:dyDescent="0.25">
      <c r="A595" s="37"/>
      <c r="B595" s="37"/>
    </row>
    <row r="596" spans="1:2" x14ac:dyDescent="0.25">
      <c r="A596" s="37"/>
      <c r="B596" s="37"/>
    </row>
    <row r="597" spans="1:2" x14ac:dyDescent="0.25">
      <c r="A597" s="37"/>
      <c r="B597" s="37"/>
    </row>
    <row r="598" spans="1:2" x14ac:dyDescent="0.25">
      <c r="A598" s="37"/>
      <c r="B598" s="37"/>
    </row>
    <row r="599" spans="1:2" x14ac:dyDescent="0.25">
      <c r="A599" s="37"/>
      <c r="B599" s="37"/>
    </row>
    <row r="600" spans="1:2" x14ac:dyDescent="0.25">
      <c r="A600" s="37"/>
      <c r="B600" s="37"/>
    </row>
    <row r="601" spans="1:2" x14ac:dyDescent="0.25">
      <c r="A601" s="37"/>
      <c r="B601" s="37"/>
    </row>
    <row r="602" spans="1:2" x14ac:dyDescent="0.25">
      <c r="A602" s="37"/>
      <c r="B602" s="37"/>
    </row>
    <row r="603" spans="1:2" x14ac:dyDescent="0.25">
      <c r="A603" s="37"/>
      <c r="B603" s="37"/>
    </row>
    <row r="604" spans="1:2" x14ac:dyDescent="0.25">
      <c r="A604" s="37"/>
      <c r="B604" s="37"/>
    </row>
    <row r="605" spans="1:2" x14ac:dyDescent="0.25">
      <c r="A605" s="37"/>
      <c r="B605" s="37"/>
    </row>
    <row r="606" spans="1:2" x14ac:dyDescent="0.25">
      <c r="A606" s="37"/>
      <c r="B606" s="37"/>
    </row>
    <row r="607" spans="1:2" x14ac:dyDescent="0.25">
      <c r="A607" s="37"/>
      <c r="B607" s="37"/>
    </row>
    <row r="608" spans="1:2" x14ac:dyDescent="0.25">
      <c r="A608" s="37"/>
      <c r="B608" s="37"/>
    </row>
    <row r="609" spans="1:2" x14ac:dyDescent="0.25">
      <c r="A609" s="37"/>
      <c r="B609" s="37"/>
    </row>
    <row r="610" spans="1:2" x14ac:dyDescent="0.25">
      <c r="A610" s="37"/>
      <c r="B610" s="37"/>
    </row>
    <row r="611" spans="1:2" x14ac:dyDescent="0.25">
      <c r="A611" s="37"/>
      <c r="B611" s="37"/>
    </row>
    <row r="612" spans="1:2" x14ac:dyDescent="0.25">
      <c r="A612" s="37"/>
      <c r="B612" s="37"/>
    </row>
    <row r="613" spans="1:2" x14ac:dyDescent="0.25">
      <c r="A613" s="37"/>
      <c r="B613" s="37"/>
    </row>
    <row r="614" spans="1:2" x14ac:dyDescent="0.25">
      <c r="A614" s="37"/>
      <c r="B614" s="37"/>
    </row>
    <row r="615" spans="1:2" x14ac:dyDescent="0.25">
      <c r="A615" s="37"/>
      <c r="B615" s="37"/>
    </row>
    <row r="616" spans="1:2" x14ac:dyDescent="0.25">
      <c r="A616" s="37"/>
      <c r="B616" s="37"/>
    </row>
    <row r="617" spans="1:2" x14ac:dyDescent="0.25">
      <c r="A617" s="37"/>
      <c r="B617" s="37"/>
    </row>
    <row r="618" spans="1:2" x14ac:dyDescent="0.25">
      <c r="A618" s="37"/>
      <c r="B618" s="37"/>
    </row>
    <row r="619" spans="1:2" x14ac:dyDescent="0.25">
      <c r="A619" s="37"/>
      <c r="B619" s="37"/>
    </row>
    <row r="620" spans="1:2" x14ac:dyDescent="0.25">
      <c r="A620" s="37"/>
      <c r="B620" s="37"/>
    </row>
    <row r="621" spans="1:2" x14ac:dyDescent="0.25">
      <c r="A621" s="37"/>
      <c r="B621" s="37"/>
    </row>
    <row r="622" spans="1:2" x14ac:dyDescent="0.25">
      <c r="A622" s="37"/>
      <c r="B622" s="37"/>
    </row>
    <row r="623" spans="1:2" x14ac:dyDescent="0.25">
      <c r="A623" s="37"/>
      <c r="B623" s="37"/>
    </row>
    <row r="624" spans="1:2" x14ac:dyDescent="0.25">
      <c r="A624" s="37"/>
      <c r="B624" s="37"/>
    </row>
    <row r="625" spans="1:2" x14ac:dyDescent="0.25">
      <c r="A625" s="37"/>
      <c r="B625" s="37"/>
    </row>
    <row r="626" spans="1:2" x14ac:dyDescent="0.25">
      <c r="A626" s="37"/>
      <c r="B626" s="37"/>
    </row>
    <row r="627" spans="1:2" x14ac:dyDescent="0.25">
      <c r="A627" s="37"/>
      <c r="B627" s="37"/>
    </row>
    <row r="628" spans="1:2" x14ac:dyDescent="0.25">
      <c r="A628" s="37"/>
      <c r="B628" s="37"/>
    </row>
    <row r="629" spans="1:2" x14ac:dyDescent="0.25">
      <c r="A629" s="37"/>
      <c r="B629" s="37"/>
    </row>
    <row r="630" spans="1:2" x14ac:dyDescent="0.25">
      <c r="A630" s="37"/>
      <c r="B630" s="37"/>
    </row>
    <row r="631" spans="1:2" x14ac:dyDescent="0.25">
      <c r="A631" s="37"/>
      <c r="B631" s="37"/>
    </row>
    <row r="632" spans="1:2" x14ac:dyDescent="0.25">
      <c r="A632" s="37"/>
      <c r="B632" s="37"/>
    </row>
    <row r="633" spans="1:2" x14ac:dyDescent="0.25">
      <c r="A633" s="37"/>
      <c r="B633" s="37"/>
    </row>
    <row r="634" spans="1:2" x14ac:dyDescent="0.25">
      <c r="A634" s="37"/>
      <c r="B634" s="37"/>
    </row>
    <row r="635" spans="1:2" x14ac:dyDescent="0.25">
      <c r="A635" s="37"/>
      <c r="B635" s="37"/>
    </row>
    <row r="636" spans="1:2" x14ac:dyDescent="0.25">
      <c r="A636" s="37"/>
      <c r="B636" s="37"/>
    </row>
    <row r="637" spans="1:2" x14ac:dyDescent="0.25">
      <c r="A637" s="37"/>
      <c r="B637" s="37"/>
    </row>
    <row r="638" spans="1:2" x14ac:dyDescent="0.25">
      <c r="A638" s="37"/>
      <c r="B638" s="37"/>
    </row>
    <row r="639" spans="1:2" x14ac:dyDescent="0.25">
      <c r="A639" s="37"/>
      <c r="B639" s="37"/>
    </row>
    <row r="640" spans="1:2" x14ac:dyDescent="0.25">
      <c r="A640" s="37"/>
      <c r="B640" s="37"/>
    </row>
    <row r="641" spans="1:2" x14ac:dyDescent="0.25">
      <c r="A641" s="37"/>
      <c r="B641" s="37"/>
    </row>
    <row r="642" spans="1:2" x14ac:dyDescent="0.25">
      <c r="A642" s="37"/>
      <c r="B642" s="37"/>
    </row>
    <row r="643" spans="1:2" x14ac:dyDescent="0.25">
      <c r="A643" s="37"/>
      <c r="B643" s="37"/>
    </row>
    <row r="644" spans="1:2" x14ac:dyDescent="0.25">
      <c r="A644" s="37"/>
      <c r="B644" s="37"/>
    </row>
    <row r="645" spans="1:2" x14ac:dyDescent="0.25">
      <c r="A645" s="37"/>
      <c r="B645" s="37"/>
    </row>
    <row r="646" spans="1:2" x14ac:dyDescent="0.25">
      <c r="A646" s="37"/>
      <c r="B646" s="37"/>
    </row>
    <row r="647" spans="1:2" x14ac:dyDescent="0.25">
      <c r="A647" s="37"/>
      <c r="B647" s="37"/>
    </row>
    <row r="648" spans="1:2" x14ac:dyDescent="0.25">
      <c r="A648" s="37"/>
      <c r="B648" s="37"/>
    </row>
    <row r="649" spans="1:2" x14ac:dyDescent="0.25">
      <c r="A649" s="37"/>
      <c r="B649" s="37"/>
    </row>
    <row r="650" spans="1:2" x14ac:dyDescent="0.25">
      <c r="A650" s="37"/>
      <c r="B650" s="37"/>
    </row>
    <row r="651" spans="1:2" x14ac:dyDescent="0.25">
      <c r="A651" s="37"/>
      <c r="B651" s="37"/>
    </row>
    <row r="652" spans="1:2" x14ac:dyDescent="0.25">
      <c r="A652" s="37"/>
      <c r="B652" s="37"/>
    </row>
    <row r="653" spans="1:2" x14ac:dyDescent="0.25">
      <c r="A653" s="37"/>
      <c r="B653" s="37"/>
    </row>
    <row r="654" spans="1:2" x14ac:dyDescent="0.25">
      <c r="A654" s="37"/>
      <c r="B654" s="37"/>
    </row>
    <row r="655" spans="1:2" x14ac:dyDescent="0.25">
      <c r="A655" s="37"/>
      <c r="B655" s="37"/>
    </row>
    <row r="656" spans="1:2" x14ac:dyDescent="0.25">
      <c r="A656" s="37"/>
      <c r="B656" s="37"/>
    </row>
    <row r="657" spans="1:2" x14ac:dyDescent="0.25">
      <c r="A657" s="37"/>
      <c r="B657" s="37"/>
    </row>
    <row r="658" spans="1:2" x14ac:dyDescent="0.25">
      <c r="A658" s="37"/>
      <c r="B658" s="37"/>
    </row>
    <row r="659" spans="1:2" x14ac:dyDescent="0.25">
      <c r="A659" s="37"/>
      <c r="B659" s="37"/>
    </row>
    <row r="660" spans="1:2" x14ac:dyDescent="0.25">
      <c r="A660" s="37"/>
      <c r="B660" s="37"/>
    </row>
    <row r="661" spans="1:2" x14ac:dyDescent="0.25">
      <c r="A661" s="37"/>
      <c r="B661" s="37"/>
    </row>
    <row r="662" spans="1:2" x14ac:dyDescent="0.25">
      <c r="A662" s="37"/>
      <c r="B662" s="37"/>
    </row>
    <row r="663" spans="1:2" x14ac:dyDescent="0.25">
      <c r="A663" s="37"/>
      <c r="B663" s="37"/>
    </row>
    <row r="664" spans="1:2" x14ac:dyDescent="0.25">
      <c r="A664" s="37"/>
      <c r="B664" s="37"/>
    </row>
    <row r="665" spans="1:2" x14ac:dyDescent="0.25">
      <c r="A665" s="37"/>
      <c r="B665" s="37"/>
    </row>
    <row r="666" spans="1:2" x14ac:dyDescent="0.25">
      <c r="A666" s="37"/>
      <c r="B666" s="37"/>
    </row>
    <row r="667" spans="1:2" x14ac:dyDescent="0.25">
      <c r="A667" s="37"/>
      <c r="B667" s="37"/>
    </row>
    <row r="668" spans="1:2" x14ac:dyDescent="0.25">
      <c r="A668" s="37"/>
      <c r="B668" s="37"/>
    </row>
    <row r="669" spans="1:2" x14ac:dyDescent="0.25">
      <c r="A669" s="37"/>
      <c r="B669" s="37"/>
    </row>
    <row r="670" spans="1:2" x14ac:dyDescent="0.25">
      <c r="A670" s="37"/>
      <c r="B670" s="37"/>
    </row>
    <row r="671" spans="1:2" x14ac:dyDescent="0.25">
      <c r="A671" s="37"/>
      <c r="B671" s="37"/>
    </row>
    <row r="672" spans="1:2" x14ac:dyDescent="0.25">
      <c r="A672" s="37"/>
      <c r="B672" s="37"/>
    </row>
    <row r="673" spans="1:2" x14ac:dyDescent="0.25">
      <c r="A673" s="37"/>
      <c r="B673" s="37"/>
    </row>
    <row r="674" spans="1:2" x14ac:dyDescent="0.25">
      <c r="A674" s="37"/>
      <c r="B674" s="37"/>
    </row>
    <row r="675" spans="1:2" x14ac:dyDescent="0.25">
      <c r="A675" s="37"/>
      <c r="B675" s="37"/>
    </row>
    <row r="676" spans="1:2" x14ac:dyDescent="0.25">
      <c r="A676" s="37"/>
      <c r="B676" s="37"/>
    </row>
    <row r="677" spans="1:2" x14ac:dyDescent="0.25">
      <c r="A677" s="37"/>
      <c r="B677" s="37"/>
    </row>
    <row r="678" spans="1:2" x14ac:dyDescent="0.25">
      <c r="A678" s="37"/>
      <c r="B678" s="37"/>
    </row>
    <row r="679" spans="1:2" x14ac:dyDescent="0.25">
      <c r="A679" s="37"/>
      <c r="B679" s="37"/>
    </row>
    <row r="680" spans="1:2" x14ac:dyDescent="0.25">
      <c r="A680" s="37"/>
      <c r="B680" s="37"/>
    </row>
    <row r="681" spans="1:2" x14ac:dyDescent="0.25">
      <c r="A681" s="37"/>
      <c r="B681" s="37"/>
    </row>
    <row r="682" spans="1:2" x14ac:dyDescent="0.25">
      <c r="A682" s="37"/>
      <c r="B682" s="37"/>
    </row>
    <row r="683" spans="1:2" x14ac:dyDescent="0.25">
      <c r="A683" s="37"/>
      <c r="B683" s="37"/>
    </row>
    <row r="684" spans="1:2" x14ac:dyDescent="0.25">
      <c r="A684" s="37"/>
      <c r="B684" s="37"/>
    </row>
    <row r="685" spans="1:2" x14ac:dyDescent="0.25">
      <c r="A685" s="37"/>
      <c r="B685" s="37"/>
    </row>
    <row r="686" spans="1:2" x14ac:dyDescent="0.25">
      <c r="A686" s="37"/>
      <c r="B686" s="37"/>
    </row>
    <row r="687" spans="1:2" x14ac:dyDescent="0.25">
      <c r="A687" s="37"/>
      <c r="B687" s="37"/>
    </row>
    <row r="688" spans="1:2" x14ac:dyDescent="0.25">
      <c r="A688" s="37"/>
      <c r="B688" s="37"/>
    </row>
    <row r="689" spans="1:2" x14ac:dyDescent="0.25">
      <c r="A689" s="37"/>
      <c r="B689" s="37"/>
    </row>
    <row r="690" spans="1:2" x14ac:dyDescent="0.25">
      <c r="A690" s="37"/>
      <c r="B690" s="37"/>
    </row>
    <row r="691" spans="1:2" x14ac:dyDescent="0.25">
      <c r="A691" s="37"/>
      <c r="B691" s="37"/>
    </row>
    <row r="692" spans="1:2" x14ac:dyDescent="0.25">
      <c r="A692" s="37"/>
      <c r="B692" s="37"/>
    </row>
    <row r="693" spans="1:2" x14ac:dyDescent="0.25">
      <c r="A693" s="37"/>
      <c r="B693" s="37"/>
    </row>
    <row r="694" spans="1:2" x14ac:dyDescent="0.25">
      <c r="A694" s="37"/>
      <c r="B694" s="37"/>
    </row>
    <row r="695" spans="1:2" x14ac:dyDescent="0.25">
      <c r="A695" s="37"/>
      <c r="B695" s="37"/>
    </row>
    <row r="696" spans="1:2" x14ac:dyDescent="0.25">
      <c r="A696" s="37"/>
      <c r="B696" s="37"/>
    </row>
    <row r="697" spans="1:2" x14ac:dyDescent="0.25">
      <c r="A697" s="37"/>
      <c r="B697" s="37"/>
    </row>
    <row r="698" spans="1:2" x14ac:dyDescent="0.25">
      <c r="A698" s="37"/>
      <c r="B698" s="37"/>
    </row>
    <row r="699" spans="1:2" x14ac:dyDescent="0.25">
      <c r="A699" s="37"/>
      <c r="B699" s="37"/>
    </row>
    <row r="700" spans="1:2" x14ac:dyDescent="0.25">
      <c r="A700" s="37"/>
      <c r="B700" s="37"/>
    </row>
    <row r="701" spans="1:2" x14ac:dyDescent="0.25">
      <c r="A701" s="37"/>
      <c r="B701" s="37"/>
    </row>
    <row r="702" spans="1:2" x14ac:dyDescent="0.25">
      <c r="A702" s="37"/>
      <c r="B702" s="37"/>
    </row>
    <row r="703" spans="1:2" x14ac:dyDescent="0.25">
      <c r="A703" s="37"/>
      <c r="B703" s="37"/>
    </row>
    <row r="704" spans="1:2" x14ac:dyDescent="0.25">
      <c r="A704" s="37"/>
      <c r="B704" s="37"/>
    </row>
    <row r="705" spans="1:2" x14ac:dyDescent="0.25">
      <c r="A705" s="37"/>
      <c r="B705" s="37"/>
    </row>
    <row r="706" spans="1:2" x14ac:dyDescent="0.25">
      <c r="A706" s="37"/>
      <c r="B706" s="37"/>
    </row>
    <row r="707" spans="1:2" x14ac:dyDescent="0.25">
      <c r="A707" s="37"/>
      <c r="B707" s="37"/>
    </row>
    <row r="708" spans="1:2" x14ac:dyDescent="0.25">
      <c r="A708" s="37"/>
      <c r="B708" s="37"/>
    </row>
    <row r="709" spans="1:2" x14ac:dyDescent="0.25">
      <c r="A709" s="37"/>
      <c r="B709" s="37"/>
    </row>
    <row r="710" spans="1:2" x14ac:dyDescent="0.25">
      <c r="A710" s="37"/>
      <c r="B710" s="37"/>
    </row>
    <row r="711" spans="1:2" x14ac:dyDescent="0.25">
      <c r="A711" s="37"/>
      <c r="B711" s="37"/>
    </row>
    <row r="712" spans="1:2" x14ac:dyDescent="0.25">
      <c r="A712" s="37"/>
      <c r="B712" s="37"/>
    </row>
    <row r="713" spans="1:2" x14ac:dyDescent="0.25">
      <c r="A713" s="37"/>
      <c r="B713" s="37"/>
    </row>
    <row r="714" spans="1:2" x14ac:dyDescent="0.25">
      <c r="A714" s="37"/>
      <c r="B714" s="37"/>
    </row>
    <row r="715" spans="1:2" x14ac:dyDescent="0.25">
      <c r="A715" s="37"/>
      <c r="B715" s="37"/>
    </row>
    <row r="716" spans="1:2" x14ac:dyDescent="0.25">
      <c r="A716" s="37"/>
      <c r="B716" s="37"/>
    </row>
    <row r="717" spans="1:2" x14ac:dyDescent="0.25">
      <c r="A717" s="37"/>
      <c r="B717" s="37"/>
    </row>
    <row r="718" spans="1:2" x14ac:dyDescent="0.25">
      <c r="A718" s="37"/>
      <c r="B718" s="37"/>
    </row>
    <row r="719" spans="1:2" x14ac:dyDescent="0.25">
      <c r="A719" s="37"/>
      <c r="B719" s="37"/>
    </row>
    <row r="720" spans="1:2" x14ac:dyDescent="0.25">
      <c r="A720" s="37"/>
      <c r="B720" s="37"/>
    </row>
    <row r="721" spans="1:2" x14ac:dyDescent="0.25">
      <c r="A721" s="37"/>
      <c r="B721" s="37"/>
    </row>
    <row r="722" spans="1:2" x14ac:dyDescent="0.25">
      <c r="A722" s="37"/>
      <c r="B722" s="37"/>
    </row>
    <row r="723" spans="1:2" x14ac:dyDescent="0.25">
      <c r="A723" s="37"/>
      <c r="B723" s="37"/>
    </row>
    <row r="724" spans="1:2" x14ac:dyDescent="0.25">
      <c r="A724" s="37"/>
      <c r="B724" s="37"/>
    </row>
    <row r="725" spans="1:2" x14ac:dyDescent="0.25">
      <c r="A725" s="37"/>
      <c r="B725" s="37"/>
    </row>
    <row r="726" spans="1:2" x14ac:dyDescent="0.25">
      <c r="A726" s="37"/>
      <c r="B726" s="37"/>
    </row>
    <row r="727" spans="1:2" x14ac:dyDescent="0.25">
      <c r="A727" s="37"/>
      <c r="B727" s="37"/>
    </row>
    <row r="728" spans="1:2" x14ac:dyDescent="0.25">
      <c r="A728" s="37"/>
      <c r="B728" s="37"/>
    </row>
    <row r="729" spans="1:2" x14ac:dyDescent="0.25">
      <c r="A729" s="37"/>
      <c r="B729" s="37"/>
    </row>
    <row r="730" spans="1:2" x14ac:dyDescent="0.25">
      <c r="A730" s="37"/>
      <c r="B730" s="37"/>
    </row>
    <row r="731" spans="1:2" x14ac:dyDescent="0.25">
      <c r="A731" s="37"/>
      <c r="B731" s="37"/>
    </row>
    <row r="732" spans="1:2" x14ac:dyDescent="0.25">
      <c r="A732" s="37"/>
      <c r="B732" s="37"/>
    </row>
    <row r="733" spans="1:2" x14ac:dyDescent="0.25">
      <c r="A733" s="37"/>
      <c r="B733" s="37"/>
    </row>
    <row r="734" spans="1:2" x14ac:dyDescent="0.25">
      <c r="A734" s="37"/>
      <c r="B734" s="37"/>
    </row>
    <row r="735" spans="1:2" x14ac:dyDescent="0.25">
      <c r="A735" s="37"/>
      <c r="B735" s="37"/>
    </row>
    <row r="736" spans="1:2" x14ac:dyDescent="0.25">
      <c r="A736" s="37"/>
      <c r="B736" s="37"/>
    </row>
    <row r="737" spans="1:2" x14ac:dyDescent="0.25">
      <c r="A737" s="37"/>
      <c r="B737" s="37"/>
    </row>
    <row r="738" spans="1:2" x14ac:dyDescent="0.25">
      <c r="A738" s="37"/>
      <c r="B738" s="37"/>
    </row>
    <row r="739" spans="1:2" x14ac:dyDescent="0.25">
      <c r="A739" s="37"/>
      <c r="B739" s="37"/>
    </row>
    <row r="740" spans="1:2" x14ac:dyDescent="0.25">
      <c r="A740" s="37"/>
      <c r="B740" s="37"/>
    </row>
    <row r="741" spans="1:2" x14ac:dyDescent="0.25">
      <c r="A741" s="37"/>
      <c r="B741" s="37"/>
    </row>
    <row r="742" spans="1:2" x14ac:dyDescent="0.25">
      <c r="A742" s="37"/>
      <c r="B742" s="37"/>
    </row>
    <row r="743" spans="1:2" x14ac:dyDescent="0.25">
      <c r="A743" s="37"/>
      <c r="B743" s="37"/>
    </row>
    <row r="744" spans="1:2" x14ac:dyDescent="0.25">
      <c r="A744" s="37"/>
      <c r="B744" s="37"/>
    </row>
    <row r="745" spans="1:2" x14ac:dyDescent="0.25">
      <c r="A745" s="37"/>
      <c r="B745" s="37"/>
    </row>
    <row r="746" spans="1:2" x14ac:dyDescent="0.25">
      <c r="A746" s="37"/>
      <c r="B746" s="37"/>
    </row>
    <row r="747" spans="1:2" x14ac:dyDescent="0.25">
      <c r="A747" s="37"/>
      <c r="B747" s="37"/>
    </row>
    <row r="748" spans="1:2" x14ac:dyDescent="0.25">
      <c r="A748" s="37"/>
      <c r="B748" s="37"/>
    </row>
    <row r="749" spans="1:2" x14ac:dyDescent="0.25">
      <c r="A749" s="37"/>
      <c r="B749" s="37"/>
    </row>
    <row r="750" spans="1:2" x14ac:dyDescent="0.25">
      <c r="A750" s="37"/>
      <c r="B750" s="37"/>
    </row>
    <row r="751" spans="1:2" x14ac:dyDescent="0.25">
      <c r="A751" s="37"/>
      <c r="B751" s="37"/>
    </row>
    <row r="752" spans="1:2" x14ac:dyDescent="0.25">
      <c r="A752" s="37"/>
      <c r="B752" s="37"/>
    </row>
    <row r="753" spans="1:2" x14ac:dyDescent="0.25">
      <c r="A753" s="37"/>
      <c r="B753" s="37"/>
    </row>
    <row r="754" spans="1:2" x14ac:dyDescent="0.25">
      <c r="A754" s="37"/>
      <c r="B754" s="37"/>
    </row>
    <row r="755" spans="1:2" x14ac:dyDescent="0.25">
      <c r="A755" s="37"/>
      <c r="B755" s="37"/>
    </row>
    <row r="756" spans="1:2" x14ac:dyDescent="0.25">
      <c r="A756" s="37"/>
      <c r="B756" s="37"/>
    </row>
    <row r="757" spans="1:2" x14ac:dyDescent="0.25">
      <c r="A757" s="37"/>
      <c r="B757" s="37"/>
    </row>
    <row r="758" spans="1:2" x14ac:dyDescent="0.25">
      <c r="A758" s="37"/>
      <c r="B758" s="37"/>
    </row>
    <row r="759" spans="1:2" x14ac:dyDescent="0.25">
      <c r="A759" s="37"/>
      <c r="B759" s="37"/>
    </row>
    <row r="760" spans="1:2" x14ac:dyDescent="0.25">
      <c r="A760" s="37"/>
      <c r="B760" s="37"/>
    </row>
    <row r="761" spans="1:2" x14ac:dyDescent="0.25">
      <c r="A761" s="37"/>
      <c r="B761" s="37"/>
    </row>
    <row r="762" spans="1:2" x14ac:dyDescent="0.25">
      <c r="A762" s="37"/>
      <c r="B762" s="37"/>
    </row>
    <row r="763" spans="1:2" x14ac:dyDescent="0.25">
      <c r="A763" s="37"/>
      <c r="B763" s="37"/>
    </row>
    <row r="764" spans="1:2" x14ac:dyDescent="0.25">
      <c r="A764" s="37"/>
      <c r="B764" s="37"/>
    </row>
    <row r="765" spans="1:2" x14ac:dyDescent="0.25">
      <c r="A765" s="37"/>
      <c r="B765" s="37"/>
    </row>
    <row r="766" spans="1:2" x14ac:dyDescent="0.25">
      <c r="A766" s="37"/>
      <c r="B766" s="37"/>
    </row>
    <row r="767" spans="1:2" x14ac:dyDescent="0.25">
      <c r="A767" s="37"/>
      <c r="B767" s="37"/>
    </row>
    <row r="768" spans="1:2" x14ac:dyDescent="0.25">
      <c r="A768" s="37"/>
      <c r="B768" s="37"/>
    </row>
    <row r="769" spans="1:2" x14ac:dyDescent="0.25">
      <c r="A769" s="37"/>
      <c r="B769" s="37"/>
    </row>
    <row r="770" spans="1:2" x14ac:dyDescent="0.25">
      <c r="A770" s="37"/>
      <c r="B770" s="37"/>
    </row>
    <row r="771" spans="1:2" x14ac:dyDescent="0.25">
      <c r="A771" s="37"/>
      <c r="B771" s="37"/>
    </row>
    <row r="772" spans="1:2" x14ac:dyDescent="0.25">
      <c r="A772" s="37"/>
      <c r="B772" s="37"/>
    </row>
    <row r="773" spans="1:2" x14ac:dyDescent="0.25">
      <c r="A773" s="37"/>
      <c r="B773" s="37"/>
    </row>
    <row r="774" spans="1:2" x14ac:dyDescent="0.25">
      <c r="A774" s="37"/>
      <c r="B774" s="37"/>
    </row>
    <row r="775" spans="1:2" x14ac:dyDescent="0.25">
      <c r="A775" s="37"/>
      <c r="B775" s="37"/>
    </row>
    <row r="776" spans="1:2" x14ac:dyDescent="0.25">
      <c r="A776" s="37"/>
      <c r="B776" s="37"/>
    </row>
    <row r="777" spans="1:2" x14ac:dyDescent="0.25">
      <c r="A777" s="37"/>
      <c r="B777" s="37"/>
    </row>
    <row r="778" spans="1:2" x14ac:dyDescent="0.25">
      <c r="A778" s="37"/>
      <c r="B778" s="37"/>
    </row>
    <row r="779" spans="1:2" x14ac:dyDescent="0.25">
      <c r="A779" s="37"/>
      <c r="B779" s="37"/>
    </row>
    <row r="780" spans="1:2" x14ac:dyDescent="0.25">
      <c r="A780" s="37"/>
      <c r="B780" s="37"/>
    </row>
    <row r="781" spans="1:2" x14ac:dyDescent="0.25">
      <c r="A781" s="37"/>
      <c r="B781" s="37"/>
    </row>
    <row r="782" spans="1:2" x14ac:dyDescent="0.25">
      <c r="A782" s="37"/>
      <c r="B782" s="37"/>
    </row>
    <row r="783" spans="1:2" x14ac:dyDescent="0.25">
      <c r="A783" s="37"/>
      <c r="B783" s="37"/>
    </row>
    <row r="784" spans="1:2" x14ac:dyDescent="0.25">
      <c r="A784" s="37"/>
      <c r="B784" s="37"/>
    </row>
    <row r="785" spans="1:2" x14ac:dyDescent="0.25">
      <c r="A785" s="37"/>
      <c r="B785" s="37"/>
    </row>
    <row r="786" spans="1:2" x14ac:dyDescent="0.25">
      <c r="A786" s="37"/>
      <c r="B786" s="37"/>
    </row>
    <row r="787" spans="1:2" x14ac:dyDescent="0.25">
      <c r="A787" s="37"/>
      <c r="B787" s="37"/>
    </row>
    <row r="788" spans="1:2" x14ac:dyDescent="0.25">
      <c r="A788" s="37"/>
      <c r="B788" s="37"/>
    </row>
    <row r="789" spans="1:2" x14ac:dyDescent="0.25">
      <c r="A789" s="37"/>
      <c r="B789" s="37"/>
    </row>
    <row r="790" spans="1:2" x14ac:dyDescent="0.25">
      <c r="A790" s="37"/>
      <c r="B790" s="37"/>
    </row>
    <row r="791" spans="1:2" x14ac:dyDescent="0.25">
      <c r="A791" s="37"/>
      <c r="B791" s="37"/>
    </row>
    <row r="792" spans="1:2" x14ac:dyDescent="0.25">
      <c r="A792" s="37"/>
      <c r="B792" s="37"/>
    </row>
    <row r="793" spans="1:2" x14ac:dyDescent="0.25">
      <c r="A793" s="37"/>
      <c r="B793" s="37"/>
    </row>
    <row r="794" spans="1:2" x14ac:dyDescent="0.25">
      <c r="A794" s="37"/>
      <c r="B794" s="37"/>
    </row>
    <row r="795" spans="1:2" x14ac:dyDescent="0.25">
      <c r="A795" s="37"/>
      <c r="B795" s="37"/>
    </row>
    <row r="796" spans="1:2" x14ac:dyDescent="0.25">
      <c r="A796" s="37"/>
      <c r="B796" s="37"/>
    </row>
    <row r="797" spans="1:2" x14ac:dyDescent="0.25">
      <c r="A797" s="37"/>
      <c r="B797" s="37"/>
    </row>
    <row r="798" spans="1:2" x14ac:dyDescent="0.25">
      <c r="A798" s="37"/>
      <c r="B798" s="37"/>
    </row>
    <row r="799" spans="1:2" x14ac:dyDescent="0.25">
      <c r="A799" s="37"/>
      <c r="B799" s="37"/>
    </row>
    <row r="800" spans="1:2" x14ac:dyDescent="0.25">
      <c r="A800" s="37"/>
      <c r="B800" s="37"/>
    </row>
    <row r="801" spans="1:2" x14ac:dyDescent="0.25">
      <c r="A801" s="37"/>
      <c r="B801" s="37"/>
    </row>
    <row r="802" spans="1:2" x14ac:dyDescent="0.25">
      <c r="A802" s="37"/>
      <c r="B802" s="37"/>
    </row>
    <row r="803" spans="1:2" x14ac:dyDescent="0.25">
      <c r="A803" s="37"/>
      <c r="B803" s="37"/>
    </row>
    <row r="804" spans="1:2" x14ac:dyDescent="0.25">
      <c r="A804" s="37"/>
      <c r="B804" s="37"/>
    </row>
    <row r="805" spans="1:2" x14ac:dyDescent="0.25">
      <c r="A805" s="37"/>
      <c r="B805" s="37"/>
    </row>
    <row r="806" spans="1:2" x14ac:dyDescent="0.25">
      <c r="A806" s="37"/>
      <c r="B806" s="37"/>
    </row>
    <row r="807" spans="1:2" x14ac:dyDescent="0.25">
      <c r="A807" s="37"/>
      <c r="B807" s="37"/>
    </row>
    <row r="808" spans="1:2" x14ac:dyDescent="0.25">
      <c r="A808" s="37"/>
      <c r="B808" s="37"/>
    </row>
    <row r="809" spans="1:2" x14ac:dyDescent="0.25">
      <c r="A809" s="37"/>
      <c r="B809" s="37"/>
    </row>
    <row r="810" spans="1:2" x14ac:dyDescent="0.25">
      <c r="A810" s="37"/>
      <c r="B810" s="37"/>
    </row>
    <row r="811" spans="1:2" x14ac:dyDescent="0.25">
      <c r="A811" s="37"/>
      <c r="B811" s="37"/>
    </row>
    <row r="812" spans="1:2" x14ac:dyDescent="0.25">
      <c r="A812" s="37"/>
      <c r="B812" s="37"/>
    </row>
    <row r="813" spans="1:2" x14ac:dyDescent="0.25">
      <c r="A813" s="37"/>
      <c r="B813" s="37"/>
    </row>
    <row r="814" spans="1:2" x14ac:dyDescent="0.25">
      <c r="A814" s="37"/>
      <c r="B814" s="37"/>
    </row>
    <row r="815" spans="1:2" x14ac:dyDescent="0.25">
      <c r="A815" s="37"/>
      <c r="B815" s="37"/>
    </row>
    <row r="816" spans="1:2" x14ac:dyDescent="0.25">
      <c r="A816" s="37"/>
      <c r="B816" s="37"/>
    </row>
    <row r="817" spans="1:2" x14ac:dyDescent="0.25">
      <c r="A817" s="37"/>
      <c r="B817" s="37"/>
    </row>
    <row r="818" spans="1:2" x14ac:dyDescent="0.25">
      <c r="A818" s="37"/>
      <c r="B818" s="37"/>
    </row>
    <row r="819" spans="1:2" x14ac:dyDescent="0.25">
      <c r="A819" s="37"/>
      <c r="B819" s="37"/>
    </row>
    <row r="820" spans="1:2" x14ac:dyDescent="0.25">
      <c r="A820" s="37"/>
      <c r="B820" s="37"/>
    </row>
    <row r="821" spans="1:2" x14ac:dyDescent="0.25">
      <c r="A821" s="37"/>
      <c r="B821" s="37"/>
    </row>
    <row r="822" spans="1:2" x14ac:dyDescent="0.25">
      <c r="A822" s="37"/>
      <c r="B822" s="37"/>
    </row>
    <row r="823" spans="1:2" x14ac:dyDescent="0.25">
      <c r="A823" s="37"/>
      <c r="B823" s="37"/>
    </row>
    <row r="824" spans="1:2" x14ac:dyDescent="0.25">
      <c r="A824" s="37"/>
      <c r="B824" s="37"/>
    </row>
    <row r="825" spans="1:2" x14ac:dyDescent="0.25">
      <c r="A825" s="37"/>
      <c r="B825" s="37"/>
    </row>
    <row r="826" spans="1:2" x14ac:dyDescent="0.25">
      <c r="A826" s="37"/>
      <c r="B826" s="37"/>
    </row>
    <row r="827" spans="1:2" x14ac:dyDescent="0.25">
      <c r="A827" s="37"/>
      <c r="B827" s="37"/>
    </row>
    <row r="828" spans="1:2" x14ac:dyDescent="0.25">
      <c r="A828" s="37"/>
      <c r="B828" s="37"/>
    </row>
    <row r="829" spans="1:2" x14ac:dyDescent="0.25">
      <c r="A829" s="37"/>
      <c r="B829" s="37"/>
    </row>
    <row r="830" spans="1:2" x14ac:dyDescent="0.25">
      <c r="A830" s="37"/>
      <c r="B830" s="37"/>
    </row>
    <row r="831" spans="1:2" x14ac:dyDescent="0.25">
      <c r="A831" s="37"/>
      <c r="B831" s="37"/>
    </row>
    <row r="832" spans="1:2" x14ac:dyDescent="0.25">
      <c r="A832" s="37"/>
      <c r="B832" s="37"/>
    </row>
    <row r="833" spans="1:2" x14ac:dyDescent="0.25">
      <c r="A833" s="37"/>
      <c r="B833" s="37"/>
    </row>
    <row r="834" spans="1:2" x14ac:dyDescent="0.25">
      <c r="A834" s="37"/>
      <c r="B834" s="37"/>
    </row>
    <row r="835" spans="1:2" x14ac:dyDescent="0.25">
      <c r="A835" s="37"/>
      <c r="B835" s="37"/>
    </row>
    <row r="836" spans="1:2" x14ac:dyDescent="0.25">
      <c r="A836" s="37"/>
      <c r="B836" s="37"/>
    </row>
    <row r="837" spans="1:2" x14ac:dyDescent="0.25">
      <c r="A837" s="37"/>
      <c r="B837" s="37"/>
    </row>
    <row r="838" spans="1:2" x14ac:dyDescent="0.25">
      <c r="A838" s="37"/>
      <c r="B838" s="37"/>
    </row>
    <row r="839" spans="1:2" x14ac:dyDescent="0.25">
      <c r="A839" s="37"/>
      <c r="B839" s="37"/>
    </row>
    <row r="840" spans="1:2" x14ac:dyDescent="0.25">
      <c r="A840" s="37"/>
      <c r="B840" s="37"/>
    </row>
    <row r="841" spans="1:2" x14ac:dyDescent="0.25">
      <c r="A841" s="37"/>
      <c r="B841" s="37"/>
    </row>
    <row r="842" spans="1:2" x14ac:dyDescent="0.25">
      <c r="A842" s="37"/>
      <c r="B842" s="37"/>
    </row>
    <row r="843" spans="1:2" x14ac:dyDescent="0.25">
      <c r="A843" s="37"/>
      <c r="B843" s="37"/>
    </row>
    <row r="844" spans="1:2" x14ac:dyDescent="0.25">
      <c r="A844" s="37"/>
      <c r="B844" s="37"/>
    </row>
    <row r="845" spans="1:2" x14ac:dyDescent="0.25">
      <c r="A845" s="37"/>
      <c r="B845" s="37"/>
    </row>
    <row r="846" spans="1:2" x14ac:dyDescent="0.25">
      <c r="A846" s="37"/>
      <c r="B846" s="37"/>
    </row>
    <row r="847" spans="1:2" x14ac:dyDescent="0.25">
      <c r="A847" s="37"/>
      <c r="B847" s="37"/>
    </row>
    <row r="848" spans="1:2" x14ac:dyDescent="0.25">
      <c r="A848" s="37"/>
      <c r="B848" s="37"/>
    </row>
    <row r="849" spans="1:2" x14ac:dyDescent="0.25">
      <c r="A849" s="37"/>
      <c r="B849" s="37"/>
    </row>
    <row r="850" spans="1:2" x14ac:dyDescent="0.25">
      <c r="A850" s="37"/>
      <c r="B850" s="37"/>
    </row>
    <row r="851" spans="1:2" x14ac:dyDescent="0.25">
      <c r="A851" s="37"/>
      <c r="B851" s="37"/>
    </row>
    <row r="852" spans="1:2" x14ac:dyDescent="0.25">
      <c r="A852" s="37"/>
      <c r="B852" s="37"/>
    </row>
    <row r="853" spans="1:2" x14ac:dyDescent="0.25">
      <c r="A853" s="37"/>
      <c r="B853" s="37"/>
    </row>
    <row r="854" spans="1:2" x14ac:dyDescent="0.25">
      <c r="A854" s="37"/>
      <c r="B854" s="37"/>
    </row>
    <row r="855" spans="1:2" x14ac:dyDescent="0.25">
      <c r="A855" s="37"/>
      <c r="B855" s="37"/>
    </row>
    <row r="856" spans="1:2" x14ac:dyDescent="0.25">
      <c r="A856" s="37"/>
      <c r="B856" s="37"/>
    </row>
    <row r="857" spans="1:2" x14ac:dyDescent="0.25">
      <c r="A857" s="37"/>
      <c r="B857" s="37"/>
    </row>
    <row r="858" spans="1:2" x14ac:dyDescent="0.25">
      <c r="A858" s="37"/>
      <c r="B858" s="37"/>
    </row>
    <row r="859" spans="1:2" x14ac:dyDescent="0.25">
      <c r="A859" s="37"/>
      <c r="B859" s="37"/>
    </row>
    <row r="860" spans="1:2" x14ac:dyDescent="0.25">
      <c r="A860" s="37"/>
      <c r="B860" s="37"/>
    </row>
    <row r="861" spans="1:2" x14ac:dyDescent="0.25">
      <c r="A861" s="37"/>
      <c r="B861" s="37"/>
    </row>
    <row r="862" spans="1:2" x14ac:dyDescent="0.25">
      <c r="A862" s="37"/>
      <c r="B862" s="37"/>
    </row>
    <row r="863" spans="1:2" x14ac:dyDescent="0.25">
      <c r="A863" s="37"/>
      <c r="B863" s="37"/>
    </row>
    <row r="864" spans="1:2" x14ac:dyDescent="0.25">
      <c r="A864" s="37"/>
      <c r="B864" s="37"/>
    </row>
    <row r="865" spans="1:2" x14ac:dyDescent="0.25">
      <c r="A865" s="37"/>
      <c r="B865" s="37"/>
    </row>
    <row r="866" spans="1:2" x14ac:dyDescent="0.25">
      <c r="A866" s="37"/>
      <c r="B866" s="37"/>
    </row>
    <row r="867" spans="1:2" x14ac:dyDescent="0.25">
      <c r="A867" s="37"/>
      <c r="B867" s="37"/>
    </row>
    <row r="868" spans="1:2" x14ac:dyDescent="0.25">
      <c r="A868" s="37"/>
      <c r="B868" s="37"/>
    </row>
    <row r="869" spans="1:2" x14ac:dyDescent="0.25">
      <c r="A869" s="37"/>
      <c r="B869" s="37"/>
    </row>
    <row r="870" spans="1:2" x14ac:dyDescent="0.25">
      <c r="A870" s="37"/>
      <c r="B870" s="37"/>
    </row>
    <row r="871" spans="1:2" x14ac:dyDescent="0.25">
      <c r="A871" s="37"/>
      <c r="B871" s="37"/>
    </row>
    <row r="872" spans="1:2" x14ac:dyDescent="0.25">
      <c r="A872" s="37"/>
      <c r="B872" s="37"/>
    </row>
    <row r="873" spans="1:2" x14ac:dyDescent="0.25">
      <c r="A873" s="37"/>
      <c r="B873" s="37"/>
    </row>
    <row r="874" spans="1:2" x14ac:dyDescent="0.25">
      <c r="A874" s="37"/>
      <c r="B874" s="37"/>
    </row>
    <row r="875" spans="1:2" x14ac:dyDescent="0.25">
      <c r="A875" s="37"/>
      <c r="B875" s="37"/>
    </row>
    <row r="876" spans="1:2" x14ac:dyDescent="0.25">
      <c r="A876" s="37"/>
      <c r="B876" s="37"/>
    </row>
    <row r="877" spans="1:2" x14ac:dyDescent="0.25">
      <c r="A877" s="37"/>
      <c r="B877" s="37"/>
    </row>
    <row r="878" spans="1:2" x14ac:dyDescent="0.25">
      <c r="A878" s="37"/>
      <c r="B878" s="37"/>
    </row>
    <row r="879" spans="1:2" x14ac:dyDescent="0.25">
      <c r="A879" s="37"/>
      <c r="B879" s="37"/>
    </row>
    <row r="880" spans="1:2" x14ac:dyDescent="0.25">
      <c r="A880" s="37"/>
      <c r="B880" s="37"/>
    </row>
    <row r="881" spans="1:2" x14ac:dyDescent="0.25">
      <c r="A881" s="37"/>
      <c r="B881" s="37"/>
    </row>
    <row r="882" spans="1:2" x14ac:dyDescent="0.25">
      <c r="A882" s="37"/>
      <c r="B882" s="37"/>
    </row>
    <row r="883" spans="1:2" x14ac:dyDescent="0.25">
      <c r="A883" s="37"/>
      <c r="B883" s="37"/>
    </row>
    <row r="884" spans="1:2" x14ac:dyDescent="0.25">
      <c r="A884" s="37"/>
      <c r="B884" s="37"/>
    </row>
    <row r="885" spans="1:2" x14ac:dyDescent="0.25">
      <c r="A885" s="37"/>
      <c r="B885" s="37"/>
    </row>
    <row r="886" spans="1:2" x14ac:dyDescent="0.25">
      <c r="A886" s="37"/>
      <c r="B886" s="37"/>
    </row>
    <row r="887" spans="1:2" x14ac:dyDescent="0.25">
      <c r="A887" s="37"/>
      <c r="B887" s="37"/>
    </row>
    <row r="888" spans="1:2" x14ac:dyDescent="0.25">
      <c r="A888" s="37"/>
      <c r="B888" s="37"/>
    </row>
    <row r="889" spans="1:2" x14ac:dyDescent="0.25">
      <c r="A889" s="37"/>
      <c r="B889" s="37"/>
    </row>
    <row r="890" spans="1:2" x14ac:dyDescent="0.25">
      <c r="A890" s="37"/>
      <c r="B890" s="37"/>
    </row>
    <row r="891" spans="1:2" x14ac:dyDescent="0.25">
      <c r="A891" s="37"/>
      <c r="B891" s="37"/>
    </row>
    <row r="892" spans="1:2" x14ac:dyDescent="0.25">
      <c r="A892" s="37"/>
      <c r="B892" s="37"/>
    </row>
    <row r="893" spans="1:2" x14ac:dyDescent="0.25">
      <c r="A893" s="37"/>
      <c r="B893" s="37"/>
    </row>
    <row r="894" spans="1:2" x14ac:dyDescent="0.25">
      <c r="A894" s="37"/>
      <c r="B894" s="37"/>
    </row>
    <row r="895" spans="1:2" x14ac:dyDescent="0.25">
      <c r="A895" s="37"/>
      <c r="B895" s="37"/>
    </row>
    <row r="896" spans="1:2" x14ac:dyDescent="0.25">
      <c r="A896" s="37"/>
      <c r="B896" s="37"/>
    </row>
    <row r="897" spans="1:2" x14ac:dyDescent="0.25">
      <c r="A897" s="37"/>
      <c r="B897" s="37"/>
    </row>
    <row r="898" spans="1:2" x14ac:dyDescent="0.25">
      <c r="A898" s="37"/>
      <c r="B898" s="37"/>
    </row>
    <row r="899" spans="1:2" x14ac:dyDescent="0.25">
      <c r="A899" s="37"/>
      <c r="B899" s="37"/>
    </row>
    <row r="900" spans="1:2" x14ac:dyDescent="0.25">
      <c r="A900" s="37"/>
      <c r="B900" s="37"/>
    </row>
    <row r="901" spans="1:2" x14ac:dyDescent="0.25">
      <c r="A901" s="37"/>
      <c r="B901" s="37"/>
    </row>
    <row r="902" spans="1:2" x14ac:dyDescent="0.25">
      <c r="A902" s="37"/>
      <c r="B902" s="37"/>
    </row>
    <row r="903" spans="1:2" x14ac:dyDescent="0.25">
      <c r="A903" s="37"/>
      <c r="B903" s="37"/>
    </row>
    <row r="904" spans="1:2" x14ac:dyDescent="0.25">
      <c r="A904" s="37"/>
      <c r="B904" s="37"/>
    </row>
    <row r="905" spans="1:2" x14ac:dyDescent="0.25">
      <c r="A905" s="37"/>
      <c r="B905" s="37"/>
    </row>
    <row r="906" spans="1:2" x14ac:dyDescent="0.25">
      <c r="A906" s="37"/>
      <c r="B906" s="37"/>
    </row>
    <row r="907" spans="1:2" x14ac:dyDescent="0.25">
      <c r="A907" s="37"/>
      <c r="B907" s="37"/>
    </row>
    <row r="908" spans="1:2" x14ac:dyDescent="0.25">
      <c r="A908" s="37"/>
      <c r="B908" s="37"/>
    </row>
    <row r="909" spans="1:2" x14ac:dyDescent="0.25">
      <c r="A909" s="37"/>
      <c r="B909" s="37"/>
    </row>
    <row r="910" spans="1:2" x14ac:dyDescent="0.25">
      <c r="A910" s="37"/>
      <c r="B910" s="37"/>
    </row>
    <row r="911" spans="1:2" x14ac:dyDescent="0.25">
      <c r="A911" s="37"/>
      <c r="B911" s="37"/>
    </row>
    <row r="912" spans="1:2" x14ac:dyDescent="0.25">
      <c r="A912" s="37"/>
      <c r="B912" s="37"/>
    </row>
    <row r="913" spans="1:2" x14ac:dyDescent="0.25">
      <c r="A913" s="37"/>
      <c r="B913" s="37"/>
    </row>
    <row r="914" spans="1:2" x14ac:dyDescent="0.25">
      <c r="A914" s="37"/>
      <c r="B914" s="37"/>
    </row>
    <row r="915" spans="1:2" x14ac:dyDescent="0.25">
      <c r="A915" s="37"/>
      <c r="B915" s="37"/>
    </row>
    <row r="916" spans="1:2" x14ac:dyDescent="0.25">
      <c r="A916" s="37"/>
      <c r="B916" s="37"/>
    </row>
    <row r="917" spans="1:2" x14ac:dyDescent="0.25">
      <c r="A917" s="37"/>
      <c r="B917" s="37"/>
    </row>
    <row r="918" spans="1:2" x14ac:dyDescent="0.25">
      <c r="A918" s="37"/>
      <c r="B918" s="37"/>
    </row>
    <row r="919" spans="1:2" x14ac:dyDescent="0.25">
      <c r="A919" s="37"/>
      <c r="B919" s="37"/>
    </row>
    <row r="920" spans="1:2" x14ac:dyDescent="0.25">
      <c r="A920" s="37"/>
      <c r="B920" s="37"/>
    </row>
    <row r="921" spans="1:2" x14ac:dyDescent="0.25">
      <c r="A921" s="37"/>
      <c r="B921" s="37"/>
    </row>
    <row r="922" spans="1:2" x14ac:dyDescent="0.25">
      <c r="A922" s="37"/>
      <c r="B922" s="37"/>
    </row>
    <row r="923" spans="1:2" x14ac:dyDescent="0.25">
      <c r="A923" s="37"/>
      <c r="B923" s="37"/>
    </row>
    <row r="924" spans="1:2" x14ac:dyDescent="0.25">
      <c r="A924" s="37"/>
      <c r="B924" s="37"/>
    </row>
    <row r="925" spans="1:2" x14ac:dyDescent="0.25">
      <c r="A925" s="37"/>
      <c r="B925" s="37"/>
    </row>
    <row r="926" spans="1:2" x14ac:dyDescent="0.25">
      <c r="A926" s="37"/>
      <c r="B926" s="37"/>
    </row>
    <row r="927" spans="1:2" x14ac:dyDescent="0.25">
      <c r="A927" s="37"/>
      <c r="B927" s="37"/>
    </row>
    <row r="928" spans="1:2" x14ac:dyDescent="0.25">
      <c r="A928" s="37"/>
      <c r="B928" s="37"/>
    </row>
    <row r="929" spans="1:2" x14ac:dyDescent="0.25">
      <c r="A929" s="37"/>
      <c r="B929" s="37"/>
    </row>
    <row r="930" spans="1:2" x14ac:dyDescent="0.25">
      <c r="A930" s="37"/>
      <c r="B930" s="37"/>
    </row>
    <row r="931" spans="1:2" x14ac:dyDescent="0.25">
      <c r="A931" s="37"/>
      <c r="B931" s="37"/>
    </row>
    <row r="932" spans="1:2" x14ac:dyDescent="0.25">
      <c r="A932" s="37"/>
      <c r="B932" s="37"/>
    </row>
    <row r="933" spans="1:2" x14ac:dyDescent="0.25">
      <c r="A933" s="37"/>
      <c r="B933" s="37"/>
    </row>
    <row r="934" spans="1:2" x14ac:dyDescent="0.25">
      <c r="A934" s="37"/>
      <c r="B934" s="37"/>
    </row>
    <row r="935" spans="1:2" x14ac:dyDescent="0.25">
      <c r="A935" s="37"/>
      <c r="B935" s="37"/>
    </row>
    <row r="936" spans="1:2" x14ac:dyDescent="0.25">
      <c r="A936" s="37"/>
      <c r="B936" s="37"/>
    </row>
    <row r="937" spans="1:2" x14ac:dyDescent="0.25">
      <c r="A937" s="37"/>
      <c r="B937" s="37"/>
    </row>
    <row r="938" spans="1:2" x14ac:dyDescent="0.25">
      <c r="A938" s="37"/>
      <c r="B938" s="37"/>
    </row>
    <row r="939" spans="1:2" x14ac:dyDescent="0.25">
      <c r="A939" s="37"/>
      <c r="B939" s="37"/>
    </row>
    <row r="940" spans="1:2" x14ac:dyDescent="0.25">
      <c r="A940" s="37"/>
      <c r="B940" s="37"/>
    </row>
    <row r="941" spans="1:2" x14ac:dyDescent="0.25">
      <c r="A941" s="37"/>
      <c r="B941" s="37"/>
    </row>
    <row r="942" spans="1:2" x14ac:dyDescent="0.25">
      <c r="A942" s="37"/>
      <c r="B942" s="37"/>
    </row>
    <row r="943" spans="1:2" x14ac:dyDescent="0.25">
      <c r="A943" s="37"/>
      <c r="B943" s="37"/>
    </row>
    <row r="944" spans="1:2" x14ac:dyDescent="0.25">
      <c r="A944" s="37"/>
      <c r="B944" s="37"/>
    </row>
    <row r="945" spans="1:2" x14ac:dyDescent="0.25">
      <c r="A945" s="37"/>
      <c r="B945" s="37"/>
    </row>
    <row r="946" spans="1:2" x14ac:dyDescent="0.25">
      <c r="A946" s="37"/>
      <c r="B946" s="37"/>
    </row>
    <row r="947" spans="1:2" x14ac:dyDescent="0.25">
      <c r="A947" s="37"/>
      <c r="B947" s="37"/>
    </row>
    <row r="948" spans="1:2" x14ac:dyDescent="0.25">
      <c r="A948" s="37"/>
      <c r="B948" s="37"/>
    </row>
    <row r="949" spans="1:2" x14ac:dyDescent="0.25">
      <c r="A949" s="37"/>
      <c r="B949" s="37"/>
    </row>
    <row r="950" spans="1:2" x14ac:dyDescent="0.25">
      <c r="A950" s="37"/>
      <c r="B950" s="37"/>
    </row>
    <row r="951" spans="1:2" x14ac:dyDescent="0.25">
      <c r="A951" s="37"/>
      <c r="B951" s="37"/>
    </row>
    <row r="952" spans="1:2" x14ac:dyDescent="0.25">
      <c r="A952" s="37"/>
      <c r="B952" s="37"/>
    </row>
    <row r="953" spans="1:2" x14ac:dyDescent="0.25">
      <c r="A953" s="37"/>
      <c r="B953" s="37"/>
    </row>
    <row r="954" spans="1:2" x14ac:dyDescent="0.25">
      <c r="A954" s="37"/>
      <c r="B954" s="37"/>
    </row>
    <row r="955" spans="1:2" x14ac:dyDescent="0.25">
      <c r="A955" s="37"/>
      <c r="B955" s="37"/>
    </row>
    <row r="956" spans="1:2" x14ac:dyDescent="0.25">
      <c r="A956" s="37"/>
      <c r="B956" s="37"/>
    </row>
    <row r="957" spans="1:2" x14ac:dyDescent="0.25">
      <c r="A957" s="37"/>
      <c r="B957" s="37"/>
    </row>
    <row r="958" spans="1:2" x14ac:dyDescent="0.25">
      <c r="A958" s="37"/>
      <c r="B958" s="37"/>
    </row>
    <row r="959" spans="1:2" x14ac:dyDescent="0.25">
      <c r="A959" s="37"/>
      <c r="B959" s="37"/>
    </row>
    <row r="960" spans="1:2" x14ac:dyDescent="0.25">
      <c r="A960" s="37"/>
      <c r="B960" s="37"/>
    </row>
    <row r="961" spans="1:2" x14ac:dyDescent="0.25">
      <c r="A961" s="37"/>
      <c r="B961" s="37"/>
    </row>
    <row r="962" spans="1:2" x14ac:dyDescent="0.25">
      <c r="A962" s="37"/>
      <c r="B962" s="37"/>
    </row>
    <row r="963" spans="1:2" x14ac:dyDescent="0.25">
      <c r="A963" s="37"/>
      <c r="B963" s="37"/>
    </row>
    <row r="964" spans="1:2" x14ac:dyDescent="0.25">
      <c r="A964" s="37"/>
      <c r="B964" s="37"/>
    </row>
    <row r="965" spans="1:2" x14ac:dyDescent="0.25">
      <c r="A965" s="37"/>
      <c r="B965" s="37"/>
    </row>
    <row r="966" spans="1:2" x14ac:dyDescent="0.25">
      <c r="A966" s="37"/>
      <c r="B966" s="37"/>
    </row>
    <row r="967" spans="1:2" x14ac:dyDescent="0.25">
      <c r="A967" s="37"/>
      <c r="B967" s="37"/>
    </row>
    <row r="968" spans="1:2" x14ac:dyDescent="0.25">
      <c r="A968" s="37"/>
      <c r="B968" s="37"/>
    </row>
    <row r="969" spans="1:2" x14ac:dyDescent="0.25">
      <c r="A969" s="37"/>
      <c r="B969" s="37"/>
    </row>
    <row r="970" spans="1:2" x14ac:dyDescent="0.25">
      <c r="A970" s="37"/>
      <c r="B970" s="37"/>
    </row>
    <row r="971" spans="1:2" x14ac:dyDescent="0.25">
      <c r="A971" s="37"/>
      <c r="B971" s="37"/>
    </row>
    <row r="972" spans="1:2" x14ac:dyDescent="0.25">
      <c r="A972" s="37"/>
      <c r="B972" s="37"/>
    </row>
    <row r="973" spans="1:2" x14ac:dyDescent="0.25">
      <c r="A973" s="37"/>
      <c r="B973" s="37"/>
    </row>
    <row r="974" spans="1:2" x14ac:dyDescent="0.25">
      <c r="A974" s="37"/>
      <c r="B974" s="37"/>
    </row>
    <row r="975" spans="1:2" x14ac:dyDescent="0.25">
      <c r="A975" s="37"/>
      <c r="B975" s="37"/>
    </row>
    <row r="976" spans="1:2" x14ac:dyDescent="0.25">
      <c r="A976" s="37"/>
      <c r="B976" s="37"/>
    </row>
    <row r="977" spans="1:2" x14ac:dyDescent="0.25">
      <c r="A977" s="37"/>
      <c r="B977" s="37"/>
    </row>
    <row r="978" spans="1:2" x14ac:dyDescent="0.25">
      <c r="A978" s="37"/>
      <c r="B978" s="37"/>
    </row>
    <row r="979" spans="1:2" x14ac:dyDescent="0.25">
      <c r="A979" s="37"/>
      <c r="B979" s="37"/>
    </row>
    <row r="980" spans="1:2" x14ac:dyDescent="0.25">
      <c r="A980" s="37"/>
      <c r="B980" s="37"/>
    </row>
    <row r="981" spans="1:2" x14ac:dyDescent="0.25">
      <c r="A981" s="37"/>
      <c r="B981" s="37"/>
    </row>
    <row r="982" spans="1:2" x14ac:dyDescent="0.25">
      <c r="A982" s="37"/>
      <c r="B982" s="37"/>
    </row>
    <row r="983" spans="1:2" x14ac:dyDescent="0.25">
      <c r="A983" s="37"/>
      <c r="B983" s="37"/>
    </row>
    <row r="984" spans="1:2" x14ac:dyDescent="0.25">
      <c r="A984" s="37"/>
      <c r="B984" s="37"/>
    </row>
    <row r="985" spans="1:2" x14ac:dyDescent="0.25">
      <c r="A985" s="37"/>
      <c r="B985" s="37"/>
    </row>
    <row r="986" spans="1:2" x14ac:dyDescent="0.25">
      <c r="A986" s="37"/>
      <c r="B986" s="37"/>
    </row>
    <row r="987" spans="1:2" x14ac:dyDescent="0.25">
      <c r="A987" s="37"/>
      <c r="B987" s="37"/>
    </row>
    <row r="988" spans="1:2" x14ac:dyDescent="0.25">
      <c r="A988" s="37"/>
      <c r="B988" s="37"/>
    </row>
    <row r="989" spans="1:2" x14ac:dyDescent="0.25">
      <c r="A989" s="37"/>
      <c r="B989" s="37"/>
    </row>
    <row r="990" spans="1:2" x14ac:dyDescent="0.25">
      <c r="A990" s="37"/>
      <c r="B990" s="37"/>
    </row>
    <row r="991" spans="1:2" x14ac:dyDescent="0.25">
      <c r="A991" s="37"/>
      <c r="B991" s="37"/>
    </row>
    <row r="992" spans="1:2" x14ac:dyDescent="0.25">
      <c r="A992" s="37"/>
      <c r="B992" s="37"/>
    </row>
    <row r="993" spans="1:2" x14ac:dyDescent="0.25">
      <c r="A993" s="37"/>
      <c r="B993" s="37"/>
    </row>
    <row r="994" spans="1:2" x14ac:dyDescent="0.25">
      <c r="A994" s="37"/>
      <c r="B994" s="37"/>
    </row>
    <row r="995" spans="1:2" x14ac:dyDescent="0.25">
      <c r="A995" s="37"/>
      <c r="B995" s="37"/>
    </row>
    <row r="996" spans="1:2" x14ac:dyDescent="0.25">
      <c r="A996" s="37"/>
      <c r="B996" s="37"/>
    </row>
    <row r="997" spans="1:2" x14ac:dyDescent="0.25">
      <c r="A997" s="37"/>
      <c r="B997" s="37"/>
    </row>
    <row r="998" spans="1:2" x14ac:dyDescent="0.25">
      <c r="A998" s="37"/>
      <c r="B998" s="37"/>
    </row>
    <row r="999" spans="1:2" x14ac:dyDescent="0.25">
      <c r="A999" s="37"/>
      <c r="B999" s="37"/>
    </row>
    <row r="1000" spans="1:2" x14ac:dyDescent="0.25">
      <c r="A1000" s="37"/>
      <c r="B1000" s="37"/>
    </row>
    <row r="1001" spans="1:2" x14ac:dyDescent="0.25">
      <c r="A1001" s="37"/>
      <c r="B1001" s="37"/>
    </row>
    <row r="1002" spans="1:2" x14ac:dyDescent="0.25">
      <c r="A1002" s="37"/>
      <c r="B1002" s="37"/>
    </row>
    <row r="1003" spans="1:2" x14ac:dyDescent="0.25">
      <c r="A1003" s="37"/>
      <c r="B1003" s="37"/>
    </row>
    <row r="1004" spans="1:2" x14ac:dyDescent="0.25">
      <c r="A1004" s="37"/>
      <c r="B1004" s="37"/>
    </row>
    <row r="1005" spans="1:2" x14ac:dyDescent="0.25">
      <c r="A1005" s="37"/>
      <c r="B1005" s="37"/>
    </row>
    <row r="1006" spans="1:2" x14ac:dyDescent="0.25">
      <c r="A1006" s="37"/>
      <c r="B1006" s="37"/>
    </row>
    <row r="1007" spans="1:2" x14ac:dyDescent="0.25">
      <c r="A1007" s="37"/>
      <c r="B1007" s="37"/>
    </row>
    <row r="1008" spans="1:2" x14ac:dyDescent="0.25">
      <c r="A1008" s="37"/>
      <c r="B1008" s="37"/>
    </row>
    <row r="1009" spans="1:2" x14ac:dyDescent="0.25">
      <c r="A1009" s="37"/>
      <c r="B1009" s="37"/>
    </row>
    <row r="1010" spans="1:2" x14ac:dyDescent="0.25">
      <c r="A1010" s="37"/>
      <c r="B1010" s="37"/>
    </row>
    <row r="1011" spans="1:2" x14ac:dyDescent="0.25">
      <c r="A1011" s="37"/>
      <c r="B1011" s="37"/>
    </row>
    <row r="1012" spans="1:2" x14ac:dyDescent="0.25">
      <c r="A1012" s="37"/>
      <c r="B1012" s="37"/>
    </row>
    <row r="1013" spans="1:2" x14ac:dyDescent="0.25">
      <c r="A1013" s="37"/>
      <c r="B1013" s="37"/>
    </row>
    <row r="1014" spans="1:2" x14ac:dyDescent="0.25">
      <c r="A1014" s="37"/>
      <c r="B1014" s="37"/>
    </row>
    <row r="1015" spans="1:2" x14ac:dyDescent="0.25">
      <c r="A1015" s="37"/>
      <c r="B1015" s="37"/>
    </row>
    <row r="1016" spans="1:2" x14ac:dyDescent="0.25">
      <c r="A1016" s="37"/>
      <c r="B1016" s="37"/>
    </row>
    <row r="1017" spans="1:2" x14ac:dyDescent="0.25">
      <c r="A1017" s="37"/>
      <c r="B1017" s="37"/>
    </row>
    <row r="1018" spans="1:2" x14ac:dyDescent="0.25">
      <c r="A1018" s="37"/>
      <c r="B1018" s="37"/>
    </row>
    <row r="1019" spans="1:2" x14ac:dyDescent="0.25">
      <c r="A1019" s="37"/>
      <c r="B1019" s="37"/>
    </row>
    <row r="1020" spans="1:2" x14ac:dyDescent="0.25">
      <c r="A1020" s="37"/>
      <c r="B1020" s="37"/>
    </row>
    <row r="1021" spans="1:2" x14ac:dyDescent="0.25">
      <c r="A1021" s="37"/>
      <c r="B1021" s="37"/>
    </row>
    <row r="1022" spans="1:2" x14ac:dyDescent="0.25">
      <c r="A1022" s="37"/>
      <c r="B1022" s="37"/>
    </row>
    <row r="1023" spans="1:2" x14ac:dyDescent="0.25">
      <c r="A1023" s="37"/>
      <c r="B1023" s="37"/>
    </row>
    <row r="1024" spans="1:2" x14ac:dyDescent="0.25">
      <c r="A1024" s="37"/>
      <c r="B1024" s="37"/>
    </row>
    <row r="1025" spans="1:2" x14ac:dyDescent="0.25">
      <c r="A1025" s="37"/>
      <c r="B1025" s="37"/>
    </row>
    <row r="1026" spans="1:2" x14ac:dyDescent="0.25">
      <c r="A1026" s="37"/>
      <c r="B1026" s="37"/>
    </row>
    <row r="1027" spans="1:2" x14ac:dyDescent="0.25">
      <c r="A1027" s="37"/>
      <c r="B1027" s="37"/>
    </row>
    <row r="1028" spans="1:2" x14ac:dyDescent="0.25">
      <c r="A1028" s="37"/>
      <c r="B1028" s="37"/>
    </row>
    <row r="1029" spans="1:2" x14ac:dyDescent="0.25">
      <c r="A1029" s="37"/>
      <c r="B1029" s="37"/>
    </row>
    <row r="1030" spans="1:2" x14ac:dyDescent="0.25">
      <c r="A1030" s="37"/>
      <c r="B1030" s="37"/>
    </row>
    <row r="1031" spans="1:2" x14ac:dyDescent="0.25">
      <c r="A1031" s="37"/>
      <c r="B1031" s="37"/>
    </row>
    <row r="1032" spans="1:2" x14ac:dyDescent="0.25">
      <c r="A1032" s="37"/>
      <c r="B1032" s="37"/>
    </row>
    <row r="1033" spans="1:2" x14ac:dyDescent="0.25">
      <c r="A1033" s="37"/>
      <c r="B1033" s="37"/>
    </row>
    <row r="1034" spans="1:2" x14ac:dyDescent="0.25">
      <c r="A1034" s="37"/>
      <c r="B1034" s="37"/>
    </row>
    <row r="1035" spans="1:2" x14ac:dyDescent="0.25">
      <c r="A1035" s="37"/>
      <c r="B1035" s="37"/>
    </row>
    <row r="1036" spans="1:2" x14ac:dyDescent="0.25">
      <c r="A1036" s="37"/>
      <c r="B1036" s="37"/>
    </row>
    <row r="1037" spans="1:2" x14ac:dyDescent="0.25">
      <c r="A1037" s="37"/>
      <c r="B1037" s="37"/>
    </row>
    <row r="1038" spans="1:2" x14ac:dyDescent="0.25">
      <c r="A1038" s="37"/>
      <c r="B1038" s="37"/>
    </row>
    <row r="1039" spans="1:2" x14ac:dyDescent="0.25">
      <c r="A1039" s="37"/>
      <c r="B1039" s="37"/>
    </row>
    <row r="1040" spans="1:2" x14ac:dyDescent="0.25">
      <c r="A1040" s="37"/>
      <c r="B1040" s="37"/>
    </row>
    <row r="1041" spans="1:2" x14ac:dyDescent="0.25">
      <c r="A1041" s="37"/>
      <c r="B1041" s="37"/>
    </row>
    <row r="1042" spans="1:2" x14ac:dyDescent="0.25">
      <c r="A1042" s="37"/>
      <c r="B1042" s="37"/>
    </row>
    <row r="1043" spans="1:2" x14ac:dyDescent="0.25">
      <c r="A1043" s="37"/>
      <c r="B1043" s="37"/>
    </row>
    <row r="1044" spans="1:2" x14ac:dyDescent="0.25">
      <c r="A1044" s="37"/>
      <c r="B1044" s="37"/>
    </row>
    <row r="1045" spans="1:2" x14ac:dyDescent="0.25">
      <c r="A1045" s="37"/>
      <c r="B1045" s="37"/>
    </row>
    <row r="1046" spans="1:2" x14ac:dyDescent="0.25">
      <c r="A1046" s="37"/>
      <c r="B1046" s="37"/>
    </row>
    <row r="1047" spans="1:2" x14ac:dyDescent="0.25">
      <c r="A1047" s="37"/>
      <c r="B1047" s="37"/>
    </row>
    <row r="1048" spans="1:2" x14ac:dyDescent="0.25">
      <c r="A1048" s="37"/>
      <c r="B1048" s="37"/>
    </row>
    <row r="1049" spans="1:2" x14ac:dyDescent="0.25">
      <c r="A1049" s="37"/>
      <c r="B1049" s="37"/>
    </row>
    <row r="1050" spans="1:2" x14ac:dyDescent="0.25">
      <c r="A1050" s="37"/>
      <c r="B1050" s="37"/>
    </row>
    <row r="1051" spans="1:2" x14ac:dyDescent="0.25">
      <c r="A1051" s="37"/>
      <c r="B1051" s="37"/>
    </row>
    <row r="1052" spans="1:2" x14ac:dyDescent="0.25">
      <c r="A1052" s="37"/>
      <c r="B1052" s="37"/>
    </row>
    <row r="1053" spans="1:2" x14ac:dyDescent="0.25">
      <c r="A1053" s="37"/>
      <c r="B1053" s="37"/>
    </row>
    <row r="1054" spans="1:2" x14ac:dyDescent="0.25">
      <c r="A1054" s="37"/>
      <c r="B1054" s="37"/>
    </row>
    <row r="1055" spans="1:2" x14ac:dyDescent="0.25">
      <c r="A1055" s="37"/>
      <c r="B1055" s="37"/>
    </row>
    <row r="1056" spans="1:2" x14ac:dyDescent="0.25">
      <c r="A1056" s="37"/>
      <c r="B1056" s="37"/>
    </row>
    <row r="1057" spans="1:2" x14ac:dyDescent="0.25">
      <c r="A1057" s="37"/>
      <c r="B1057" s="37"/>
    </row>
    <row r="1058" spans="1:2" x14ac:dyDescent="0.25">
      <c r="A1058" s="37"/>
      <c r="B1058" s="37"/>
    </row>
    <row r="1059" spans="1:2" x14ac:dyDescent="0.25">
      <c r="A1059" s="37"/>
      <c r="B1059" s="37"/>
    </row>
    <row r="1060" spans="1:2" x14ac:dyDescent="0.25">
      <c r="A1060" s="37"/>
      <c r="B1060" s="37"/>
    </row>
    <row r="1061" spans="1:2" x14ac:dyDescent="0.25">
      <c r="A1061" s="37"/>
      <c r="B1061" s="37"/>
    </row>
    <row r="1062" spans="1:2" x14ac:dyDescent="0.25">
      <c r="A1062" s="37"/>
      <c r="B1062" s="37"/>
    </row>
    <row r="1063" spans="1:2" x14ac:dyDescent="0.25">
      <c r="A1063" s="37"/>
      <c r="B1063" s="37"/>
    </row>
    <row r="1064" spans="1:2" x14ac:dyDescent="0.25">
      <c r="A1064" s="37"/>
      <c r="B1064" s="37"/>
    </row>
    <row r="1065" spans="1:2" x14ac:dyDescent="0.25">
      <c r="A1065" s="37"/>
      <c r="B1065" s="37"/>
    </row>
    <row r="1066" spans="1:2" x14ac:dyDescent="0.25">
      <c r="A1066" s="37"/>
      <c r="B1066" s="37"/>
    </row>
    <row r="1067" spans="1:2" x14ac:dyDescent="0.25">
      <c r="A1067" s="37"/>
      <c r="B1067" s="37"/>
    </row>
    <row r="1068" spans="1:2" x14ac:dyDescent="0.25">
      <c r="A1068" s="37"/>
      <c r="B1068" s="37"/>
    </row>
    <row r="1069" spans="1:2" x14ac:dyDescent="0.25">
      <c r="A1069" s="37"/>
      <c r="B1069" s="37"/>
    </row>
    <row r="1070" spans="1:2" x14ac:dyDescent="0.25">
      <c r="A1070" s="37"/>
      <c r="B1070" s="37"/>
    </row>
    <row r="1071" spans="1:2" x14ac:dyDescent="0.25">
      <c r="A1071" s="37"/>
      <c r="B1071" s="37"/>
    </row>
    <row r="1072" spans="1:2" x14ac:dyDescent="0.25">
      <c r="A1072" s="37"/>
      <c r="B1072" s="37"/>
    </row>
    <row r="1073" spans="1:2" x14ac:dyDescent="0.25">
      <c r="A1073" s="37"/>
      <c r="B1073" s="37"/>
    </row>
    <row r="1074" spans="1:2" x14ac:dyDescent="0.25">
      <c r="A1074" s="37"/>
      <c r="B1074" s="37"/>
    </row>
    <row r="1075" spans="1:2" x14ac:dyDescent="0.25">
      <c r="A1075" s="37"/>
      <c r="B1075" s="37"/>
    </row>
    <row r="1076" spans="1:2" x14ac:dyDescent="0.25">
      <c r="A1076" s="37"/>
      <c r="B1076" s="37"/>
    </row>
    <row r="1077" spans="1:2" x14ac:dyDescent="0.25">
      <c r="A1077" s="37"/>
      <c r="B1077" s="37"/>
    </row>
    <row r="1078" spans="1:2" x14ac:dyDescent="0.25">
      <c r="A1078" s="37"/>
      <c r="B1078" s="37"/>
    </row>
    <row r="1079" spans="1:2" x14ac:dyDescent="0.25">
      <c r="A1079" s="37"/>
      <c r="B1079" s="37"/>
    </row>
    <row r="1080" spans="1:2" x14ac:dyDescent="0.25">
      <c r="A1080" s="37"/>
      <c r="B1080" s="37"/>
    </row>
    <row r="1081" spans="1:2" x14ac:dyDescent="0.25">
      <c r="A1081" s="37"/>
      <c r="B1081" s="37"/>
    </row>
    <row r="1082" spans="1:2" x14ac:dyDescent="0.25">
      <c r="A1082" s="37"/>
      <c r="B1082" s="37"/>
    </row>
    <row r="1083" spans="1:2" x14ac:dyDescent="0.25">
      <c r="A1083" s="37"/>
      <c r="B1083" s="37"/>
    </row>
    <row r="1084" spans="1:2" x14ac:dyDescent="0.25">
      <c r="A1084" s="37"/>
      <c r="B1084" s="37"/>
    </row>
    <row r="1085" spans="1:2" x14ac:dyDescent="0.25">
      <c r="A1085" s="37"/>
      <c r="B1085" s="37"/>
    </row>
    <row r="1086" spans="1:2" x14ac:dyDescent="0.25">
      <c r="A1086" s="37"/>
      <c r="B1086" s="37"/>
    </row>
    <row r="1087" spans="1:2" x14ac:dyDescent="0.25">
      <c r="A1087" s="37"/>
      <c r="B1087" s="37"/>
    </row>
    <row r="1088" spans="1:2" x14ac:dyDescent="0.25">
      <c r="A1088" s="37"/>
      <c r="B1088" s="37"/>
    </row>
    <row r="1089" spans="1:2" x14ac:dyDescent="0.25">
      <c r="A1089" s="37"/>
      <c r="B1089" s="37"/>
    </row>
    <row r="1090" spans="1:2" x14ac:dyDescent="0.25">
      <c r="A1090" s="37"/>
      <c r="B1090" s="37"/>
    </row>
    <row r="1091" spans="1:2" x14ac:dyDescent="0.25">
      <c r="A1091" s="37"/>
      <c r="B1091" s="37"/>
    </row>
    <row r="1092" spans="1:2" x14ac:dyDescent="0.25">
      <c r="A1092" s="37"/>
      <c r="B1092" s="37"/>
    </row>
    <row r="1093" spans="1:2" x14ac:dyDescent="0.25">
      <c r="A1093" s="37"/>
      <c r="B1093" s="37"/>
    </row>
    <row r="1094" spans="1:2" x14ac:dyDescent="0.25">
      <c r="A1094" s="37"/>
      <c r="B1094" s="37"/>
    </row>
    <row r="1095" spans="1:2" x14ac:dyDescent="0.25">
      <c r="A1095" s="37"/>
      <c r="B1095" s="37"/>
    </row>
    <row r="1096" spans="1:2" x14ac:dyDescent="0.25">
      <c r="A1096" s="37"/>
      <c r="B1096" s="37"/>
    </row>
    <row r="1097" spans="1:2" x14ac:dyDescent="0.25">
      <c r="A1097" s="37"/>
    </row>
    <row r="1098" spans="1:2" x14ac:dyDescent="0.25">
      <c r="A1098" s="37"/>
    </row>
    <row r="1099" spans="1:2" x14ac:dyDescent="0.25">
      <c r="A1099" s="37"/>
    </row>
    <row r="1100" spans="1:2" x14ac:dyDescent="0.25">
      <c r="A1100" s="37"/>
    </row>
    <row r="1101" spans="1:2" x14ac:dyDescent="0.25">
      <c r="A1101" s="37"/>
    </row>
    <row r="1102" spans="1:2" x14ac:dyDescent="0.25">
      <c r="A1102" s="37"/>
    </row>
    <row r="1103" spans="1:2" x14ac:dyDescent="0.25">
      <c r="A1103" s="37"/>
    </row>
    <row r="1104" spans="1:2" x14ac:dyDescent="0.25">
      <c r="A1104" s="37"/>
    </row>
    <row r="1105" spans="1:1" x14ac:dyDescent="0.25">
      <c r="A1105" s="37"/>
    </row>
    <row r="1106" spans="1:1" x14ac:dyDescent="0.25">
      <c r="A1106" s="37"/>
    </row>
    <row r="1107" spans="1:1" x14ac:dyDescent="0.25">
      <c r="A1107" s="37"/>
    </row>
    <row r="1108" spans="1:1" x14ac:dyDescent="0.25">
      <c r="A1108" s="37"/>
    </row>
    <row r="1109" spans="1:1" x14ac:dyDescent="0.25">
      <c r="A1109" s="37"/>
    </row>
    <row r="1110" spans="1:1" x14ac:dyDescent="0.25">
      <c r="A1110" s="37"/>
    </row>
    <row r="1111" spans="1:1" x14ac:dyDescent="0.25">
      <c r="A1111" s="37"/>
    </row>
    <row r="1112" spans="1:1" x14ac:dyDescent="0.25">
      <c r="A1112" s="37"/>
    </row>
    <row r="1113" spans="1:1" x14ac:dyDescent="0.25">
      <c r="A1113" s="37"/>
    </row>
    <row r="1114" spans="1:1" x14ac:dyDescent="0.25">
      <c r="A1114" s="37"/>
    </row>
    <row r="1115" spans="1:1" x14ac:dyDescent="0.25">
      <c r="A1115" s="37"/>
    </row>
    <row r="1116" spans="1:1" x14ac:dyDescent="0.25">
      <c r="A1116" s="37"/>
    </row>
    <row r="1117" spans="1:1" x14ac:dyDescent="0.25">
      <c r="A1117" s="37"/>
    </row>
    <row r="1118" spans="1:1" x14ac:dyDescent="0.25">
      <c r="A1118" s="37"/>
    </row>
    <row r="1119" spans="1:1" x14ac:dyDescent="0.25">
      <c r="A1119" s="37"/>
    </row>
    <row r="1120" spans="1:1" x14ac:dyDescent="0.25">
      <c r="A1120" s="37"/>
    </row>
    <row r="1121" spans="1:1" x14ac:dyDescent="0.25">
      <c r="A1121" s="37"/>
    </row>
    <row r="1122" spans="1:1" x14ac:dyDescent="0.25">
      <c r="A1122" s="37"/>
    </row>
    <row r="1123" spans="1:1" x14ac:dyDescent="0.25">
      <c r="A1123" s="37"/>
    </row>
    <row r="1124" spans="1:1" x14ac:dyDescent="0.25">
      <c r="A1124" s="37"/>
    </row>
    <row r="1125" spans="1:1" x14ac:dyDescent="0.25">
      <c r="A1125" s="37"/>
    </row>
    <row r="1126" spans="1:1" x14ac:dyDescent="0.25">
      <c r="A1126" s="37"/>
    </row>
    <row r="1127" spans="1:1" x14ac:dyDescent="0.25">
      <c r="A1127" s="37"/>
    </row>
    <row r="1128" spans="1:1" x14ac:dyDescent="0.25">
      <c r="A1128" s="37"/>
    </row>
    <row r="1129" spans="1:1" x14ac:dyDescent="0.25">
      <c r="A1129" s="37"/>
    </row>
    <row r="1130" spans="1:1" x14ac:dyDescent="0.25">
      <c r="A1130" s="37"/>
    </row>
    <row r="1131" spans="1:1" x14ac:dyDescent="0.25">
      <c r="A1131" s="37"/>
    </row>
    <row r="1132" spans="1:1" x14ac:dyDescent="0.25">
      <c r="A1132" s="37"/>
    </row>
    <row r="1133" spans="1:1" x14ac:dyDescent="0.25">
      <c r="A1133" s="37"/>
    </row>
    <row r="1134" spans="1:1" x14ac:dyDescent="0.25">
      <c r="A1134" s="37"/>
    </row>
    <row r="1135" spans="1:1" x14ac:dyDescent="0.25">
      <c r="A1135" s="37"/>
    </row>
    <row r="1136" spans="1:1" x14ac:dyDescent="0.25">
      <c r="A1136" s="37"/>
    </row>
    <row r="1137" spans="1:1" x14ac:dyDescent="0.25">
      <c r="A1137" s="37"/>
    </row>
    <row r="1138" spans="1:1" x14ac:dyDescent="0.25">
      <c r="A1138" s="37"/>
    </row>
    <row r="1139" spans="1:1" x14ac:dyDescent="0.25">
      <c r="A1139" s="37"/>
    </row>
    <row r="1140" spans="1:1" x14ac:dyDescent="0.25">
      <c r="A1140" s="37"/>
    </row>
    <row r="1141" spans="1:1" x14ac:dyDescent="0.25">
      <c r="A1141" s="37"/>
    </row>
    <row r="1142" spans="1:1" x14ac:dyDescent="0.25">
      <c r="A1142" s="37"/>
    </row>
    <row r="1143" spans="1:1" x14ac:dyDescent="0.25">
      <c r="A1143" s="37"/>
    </row>
    <row r="1144" spans="1:1" x14ac:dyDescent="0.25">
      <c r="A1144" s="37"/>
    </row>
    <row r="1145" spans="1:1" x14ac:dyDescent="0.25">
      <c r="A1145" s="37"/>
    </row>
    <row r="1146" spans="1:1" x14ac:dyDescent="0.25">
      <c r="A1146" s="37"/>
    </row>
    <row r="1147" spans="1:1" x14ac:dyDescent="0.25">
      <c r="A1147" s="37"/>
    </row>
    <row r="1148" spans="1:1" x14ac:dyDescent="0.25">
      <c r="A1148" s="37"/>
    </row>
    <row r="1149" spans="1:1" x14ac:dyDescent="0.25">
      <c r="A1149" s="37"/>
    </row>
    <row r="1150" spans="1:1" x14ac:dyDescent="0.25">
      <c r="A1150" s="37"/>
    </row>
    <row r="1151" spans="1:1" x14ac:dyDescent="0.25">
      <c r="A1151" s="37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CEB4C4-86FB-4166-B114-65F1D64AD075}">
  <sheetPr codeName="Sheet4"/>
  <dimension ref="A1:H2977"/>
  <sheetViews>
    <sheetView workbookViewId="0">
      <selection activeCell="J15" sqref="J15"/>
    </sheetView>
  </sheetViews>
  <sheetFormatPr defaultRowHeight="15" x14ac:dyDescent="0.25"/>
  <cols>
    <col min="1" max="1" width="7.28515625" bestFit="1" customWidth="1"/>
    <col min="2" max="2" width="10.42578125" bestFit="1" customWidth="1"/>
    <col min="3" max="3" width="26.28515625" bestFit="1" customWidth="1"/>
    <col min="4" max="4" width="25.42578125" customWidth="1"/>
    <col min="5" max="5" width="12.28515625" customWidth="1"/>
    <col min="6" max="6" width="10.42578125" customWidth="1"/>
  </cols>
  <sheetData>
    <row r="1" spans="1:8" x14ac:dyDescent="0.25">
      <c r="A1" s="41" t="s">
        <v>31</v>
      </c>
      <c r="B1" s="7" t="s">
        <v>36</v>
      </c>
      <c r="C1" s="7" t="s">
        <v>0</v>
      </c>
      <c r="D1" s="7" t="s">
        <v>72</v>
      </c>
      <c r="E1" s="7" t="s">
        <v>35</v>
      </c>
      <c r="F1" s="7" t="s">
        <v>1</v>
      </c>
      <c r="H1" t="s">
        <v>71</v>
      </c>
    </row>
    <row r="2" spans="1:8" x14ac:dyDescent="0.25">
      <c r="A2" s="42" t="s">
        <v>3</v>
      </c>
      <c r="B2" s="43">
        <v>45743</v>
      </c>
      <c r="C2" s="16" t="s">
        <v>179</v>
      </c>
      <c r="D2" s="16" t="s">
        <v>180</v>
      </c>
      <c r="E2" s="16">
        <v>49037</v>
      </c>
      <c r="F2" s="16">
        <v>166.83949999999999</v>
      </c>
    </row>
    <row r="3" spans="1:8" x14ac:dyDescent="0.25">
      <c r="A3" t="s">
        <v>3</v>
      </c>
      <c r="B3" s="6">
        <v>45741</v>
      </c>
      <c r="C3" t="s">
        <v>181</v>
      </c>
      <c r="D3" t="s">
        <v>10</v>
      </c>
      <c r="E3">
        <v>54064</v>
      </c>
      <c r="F3">
        <v>0</v>
      </c>
    </row>
    <row r="4" spans="1:8" x14ac:dyDescent="0.25">
      <c r="A4" t="s">
        <v>3</v>
      </c>
      <c r="B4" s="6">
        <v>45741</v>
      </c>
      <c r="C4" t="s">
        <v>181</v>
      </c>
      <c r="D4" t="s">
        <v>73</v>
      </c>
      <c r="E4">
        <v>108478</v>
      </c>
      <c r="F4">
        <v>169.93</v>
      </c>
    </row>
    <row r="5" spans="1:8" x14ac:dyDescent="0.25">
      <c r="A5" t="s">
        <v>3</v>
      </c>
      <c r="B5" s="6">
        <v>45741</v>
      </c>
      <c r="C5" t="s">
        <v>181</v>
      </c>
      <c r="D5" t="s">
        <v>10</v>
      </c>
      <c r="E5">
        <v>115239</v>
      </c>
      <c r="F5">
        <v>0</v>
      </c>
    </row>
    <row r="6" spans="1:8" x14ac:dyDescent="0.25">
      <c r="A6" t="s">
        <v>3</v>
      </c>
      <c r="B6" s="6">
        <v>45741</v>
      </c>
      <c r="C6" t="s">
        <v>181</v>
      </c>
      <c r="D6" t="s">
        <v>73</v>
      </c>
      <c r="E6">
        <v>70222</v>
      </c>
      <c r="F6">
        <v>169.93</v>
      </c>
    </row>
    <row r="7" spans="1:8" x14ac:dyDescent="0.25">
      <c r="A7" t="s">
        <v>3</v>
      </c>
      <c r="B7" s="6">
        <v>45741</v>
      </c>
      <c r="C7" t="s">
        <v>181</v>
      </c>
      <c r="D7" t="s">
        <v>10</v>
      </c>
      <c r="E7">
        <v>81918</v>
      </c>
      <c r="F7">
        <v>0</v>
      </c>
    </row>
    <row r="8" spans="1:8" x14ac:dyDescent="0.25">
      <c r="A8" t="s">
        <v>3</v>
      </c>
      <c r="B8" s="6">
        <v>45741</v>
      </c>
      <c r="C8" t="s">
        <v>182</v>
      </c>
      <c r="D8" t="s">
        <v>73</v>
      </c>
      <c r="E8">
        <v>23050</v>
      </c>
      <c r="F8">
        <v>169.93</v>
      </c>
    </row>
    <row r="9" spans="1:8" x14ac:dyDescent="0.25">
      <c r="A9" t="s">
        <v>3</v>
      </c>
      <c r="B9" s="6">
        <v>45741</v>
      </c>
      <c r="C9" t="s">
        <v>182</v>
      </c>
      <c r="D9" t="s">
        <v>10</v>
      </c>
      <c r="E9">
        <v>23732</v>
      </c>
      <c r="F9">
        <v>0</v>
      </c>
    </row>
    <row r="10" spans="1:8" x14ac:dyDescent="0.25">
      <c r="A10" t="s">
        <v>3</v>
      </c>
      <c r="B10" s="6">
        <v>45741</v>
      </c>
      <c r="C10" t="s">
        <v>182</v>
      </c>
      <c r="D10" t="s">
        <v>73</v>
      </c>
      <c r="E10">
        <v>19613</v>
      </c>
      <c r="F10">
        <v>169.93</v>
      </c>
    </row>
    <row r="11" spans="1:8" x14ac:dyDescent="0.25">
      <c r="A11" t="s">
        <v>3</v>
      </c>
      <c r="B11" s="6">
        <v>45741</v>
      </c>
      <c r="C11" t="s">
        <v>182</v>
      </c>
      <c r="D11" t="s">
        <v>10</v>
      </c>
      <c r="E11">
        <v>19894</v>
      </c>
      <c r="F11">
        <v>0</v>
      </c>
    </row>
    <row r="12" spans="1:8" x14ac:dyDescent="0.25">
      <c r="A12" t="s">
        <v>3</v>
      </c>
      <c r="B12" s="6">
        <v>45741</v>
      </c>
      <c r="C12" t="s">
        <v>182</v>
      </c>
      <c r="D12" t="s">
        <v>10</v>
      </c>
      <c r="E12">
        <v>15976</v>
      </c>
      <c r="F12">
        <v>0</v>
      </c>
    </row>
    <row r="13" spans="1:8" x14ac:dyDescent="0.25">
      <c r="A13" t="s">
        <v>3</v>
      </c>
      <c r="B13" s="6">
        <v>45741</v>
      </c>
      <c r="C13" t="s">
        <v>183</v>
      </c>
      <c r="D13" t="s">
        <v>10</v>
      </c>
      <c r="E13">
        <v>104444</v>
      </c>
      <c r="F13">
        <v>0</v>
      </c>
    </row>
    <row r="14" spans="1:8" x14ac:dyDescent="0.25">
      <c r="A14" t="s">
        <v>3</v>
      </c>
      <c r="B14" s="6">
        <v>45741</v>
      </c>
      <c r="C14" t="s">
        <v>183</v>
      </c>
      <c r="D14" t="s">
        <v>73</v>
      </c>
      <c r="E14">
        <v>110462</v>
      </c>
      <c r="F14">
        <v>169.93</v>
      </c>
    </row>
    <row r="15" spans="1:8" x14ac:dyDescent="0.25">
      <c r="A15" t="s">
        <v>3</v>
      </c>
      <c r="B15" s="6">
        <v>45741</v>
      </c>
      <c r="C15" t="s">
        <v>183</v>
      </c>
      <c r="D15" t="s">
        <v>73</v>
      </c>
      <c r="E15">
        <v>42508</v>
      </c>
      <c r="F15">
        <v>169.93</v>
      </c>
    </row>
    <row r="16" spans="1:8" x14ac:dyDescent="0.25">
      <c r="A16" t="s">
        <v>3</v>
      </c>
      <c r="B16" s="6">
        <v>45741</v>
      </c>
      <c r="C16" t="s">
        <v>183</v>
      </c>
      <c r="D16" t="s">
        <v>10</v>
      </c>
      <c r="E16">
        <v>49632</v>
      </c>
      <c r="F16">
        <v>0</v>
      </c>
    </row>
    <row r="17" spans="1:6" x14ac:dyDescent="0.25">
      <c r="A17" t="s">
        <v>3</v>
      </c>
      <c r="B17" s="6">
        <v>45741</v>
      </c>
      <c r="C17" t="s">
        <v>183</v>
      </c>
      <c r="D17" t="s">
        <v>73</v>
      </c>
      <c r="E17">
        <v>66455</v>
      </c>
      <c r="F17">
        <v>169.93</v>
      </c>
    </row>
    <row r="18" spans="1:6" x14ac:dyDescent="0.25">
      <c r="A18" t="s">
        <v>3</v>
      </c>
      <c r="B18" s="6">
        <v>45741</v>
      </c>
      <c r="C18" t="s">
        <v>183</v>
      </c>
      <c r="D18" t="s">
        <v>10</v>
      </c>
      <c r="E18">
        <v>71228</v>
      </c>
      <c r="F18">
        <v>0</v>
      </c>
    </row>
    <row r="19" spans="1:6" x14ac:dyDescent="0.25">
      <c r="A19" t="s">
        <v>3</v>
      </c>
      <c r="B19" s="6">
        <v>45741</v>
      </c>
      <c r="C19" t="s">
        <v>183</v>
      </c>
      <c r="D19" t="s">
        <v>10</v>
      </c>
      <c r="E19">
        <v>667068</v>
      </c>
      <c r="F19">
        <v>0</v>
      </c>
    </row>
    <row r="20" spans="1:6" x14ac:dyDescent="0.25">
      <c r="A20" t="s">
        <v>3</v>
      </c>
      <c r="B20" s="6">
        <v>45741</v>
      </c>
      <c r="C20" t="s">
        <v>179</v>
      </c>
      <c r="D20" t="s">
        <v>10</v>
      </c>
      <c r="E20">
        <v>104444</v>
      </c>
      <c r="F20">
        <v>0</v>
      </c>
    </row>
    <row r="21" spans="1:6" x14ac:dyDescent="0.25">
      <c r="A21" t="s">
        <v>3</v>
      </c>
      <c r="B21" s="6">
        <v>45741</v>
      </c>
      <c r="C21" t="s">
        <v>179</v>
      </c>
      <c r="D21" t="s">
        <v>73</v>
      </c>
      <c r="E21">
        <v>110462</v>
      </c>
      <c r="F21">
        <v>169.93</v>
      </c>
    </row>
    <row r="22" spans="1:6" x14ac:dyDescent="0.25">
      <c r="A22" t="s">
        <v>3</v>
      </c>
      <c r="B22" s="6">
        <v>45741</v>
      </c>
      <c r="C22" t="s">
        <v>179</v>
      </c>
      <c r="D22" t="s">
        <v>73</v>
      </c>
      <c r="E22">
        <v>66455</v>
      </c>
      <c r="F22">
        <v>0</v>
      </c>
    </row>
    <row r="23" spans="1:6" x14ac:dyDescent="0.25">
      <c r="A23" t="s">
        <v>3</v>
      </c>
      <c r="B23" s="6">
        <v>45741</v>
      </c>
      <c r="C23" t="s">
        <v>179</v>
      </c>
      <c r="D23" t="s">
        <v>10</v>
      </c>
      <c r="E23">
        <v>71228</v>
      </c>
      <c r="F23">
        <v>0</v>
      </c>
    </row>
    <row r="24" spans="1:6" x14ac:dyDescent="0.25">
      <c r="A24" t="s">
        <v>3</v>
      </c>
      <c r="B24" s="6">
        <v>45741</v>
      </c>
      <c r="C24" t="s">
        <v>179</v>
      </c>
      <c r="D24" t="s">
        <v>73</v>
      </c>
      <c r="E24">
        <v>42508</v>
      </c>
      <c r="F24">
        <v>169.93</v>
      </c>
    </row>
    <row r="25" spans="1:6" x14ac:dyDescent="0.25">
      <c r="A25" t="s">
        <v>3</v>
      </c>
      <c r="B25" s="6">
        <v>45741</v>
      </c>
      <c r="C25" t="s">
        <v>179</v>
      </c>
      <c r="D25" t="s">
        <v>10</v>
      </c>
      <c r="E25">
        <v>49632</v>
      </c>
      <c r="F25">
        <v>0</v>
      </c>
    </row>
    <row r="26" spans="1:6" x14ac:dyDescent="0.25">
      <c r="A26" t="s">
        <v>3</v>
      </c>
      <c r="B26" s="6">
        <v>45741</v>
      </c>
      <c r="C26" t="s">
        <v>179</v>
      </c>
      <c r="D26" t="s">
        <v>10</v>
      </c>
      <c r="E26">
        <v>41283</v>
      </c>
      <c r="F26">
        <v>0</v>
      </c>
    </row>
    <row r="27" spans="1:6" x14ac:dyDescent="0.25">
      <c r="A27" t="s">
        <v>3</v>
      </c>
      <c r="B27" s="6">
        <v>45741</v>
      </c>
      <c r="C27" t="s">
        <v>184</v>
      </c>
      <c r="D27" t="s">
        <v>73</v>
      </c>
      <c r="E27">
        <v>84914</v>
      </c>
      <c r="F27">
        <v>169.93</v>
      </c>
    </row>
    <row r="28" spans="1:6" x14ac:dyDescent="0.25">
      <c r="A28" t="s">
        <v>3</v>
      </c>
      <c r="B28" s="6">
        <v>45741</v>
      </c>
      <c r="C28" t="s">
        <v>184</v>
      </c>
      <c r="D28" t="s">
        <v>10</v>
      </c>
      <c r="E28">
        <v>91013</v>
      </c>
      <c r="F28">
        <v>0</v>
      </c>
    </row>
    <row r="29" spans="1:6" x14ac:dyDescent="0.25">
      <c r="A29" t="s">
        <v>3</v>
      </c>
      <c r="B29" s="6">
        <v>45741</v>
      </c>
      <c r="C29" t="s">
        <v>184</v>
      </c>
      <c r="D29" t="s">
        <v>73</v>
      </c>
      <c r="E29">
        <v>54315</v>
      </c>
      <c r="F29">
        <v>169.93</v>
      </c>
    </row>
    <row r="30" spans="1:6" x14ac:dyDescent="0.25">
      <c r="A30" t="s">
        <v>3</v>
      </c>
      <c r="B30" s="6">
        <v>45741</v>
      </c>
      <c r="C30" t="s">
        <v>184</v>
      </c>
      <c r="D30" t="s">
        <v>10</v>
      </c>
      <c r="E30">
        <v>63419</v>
      </c>
      <c r="F30">
        <v>0</v>
      </c>
    </row>
    <row r="31" spans="1:6" x14ac:dyDescent="0.25">
      <c r="A31" t="s">
        <v>3</v>
      </c>
      <c r="B31" s="6">
        <v>45741</v>
      </c>
      <c r="C31" t="s">
        <v>184</v>
      </c>
      <c r="D31" t="s">
        <v>73</v>
      </c>
      <c r="E31">
        <v>129098</v>
      </c>
      <c r="F31">
        <v>169.93</v>
      </c>
    </row>
    <row r="32" spans="1:6" x14ac:dyDescent="0.25">
      <c r="A32" t="s">
        <v>3</v>
      </c>
      <c r="B32" s="6">
        <v>45741</v>
      </c>
      <c r="C32" t="s">
        <v>184</v>
      </c>
      <c r="D32" t="s">
        <v>10</v>
      </c>
      <c r="E32">
        <v>136310</v>
      </c>
      <c r="F32">
        <v>0</v>
      </c>
    </row>
    <row r="33" spans="1:6" x14ac:dyDescent="0.25">
      <c r="A33" t="s">
        <v>3</v>
      </c>
      <c r="B33" s="6">
        <v>45741</v>
      </c>
      <c r="C33" t="s">
        <v>184</v>
      </c>
      <c r="D33" t="s">
        <v>10</v>
      </c>
      <c r="E33">
        <v>706746</v>
      </c>
      <c r="F33">
        <v>0</v>
      </c>
    </row>
    <row r="34" spans="1:6" x14ac:dyDescent="0.25">
      <c r="A34" t="s">
        <v>3</v>
      </c>
      <c r="B34" s="6">
        <v>45741</v>
      </c>
      <c r="C34" t="s">
        <v>185</v>
      </c>
      <c r="D34" t="s">
        <v>73</v>
      </c>
      <c r="E34">
        <v>224169</v>
      </c>
      <c r="F34">
        <v>169.93</v>
      </c>
    </row>
    <row r="35" spans="1:6" x14ac:dyDescent="0.25">
      <c r="A35" t="s">
        <v>3</v>
      </c>
      <c r="B35" s="6">
        <v>45741</v>
      </c>
      <c r="C35" t="s">
        <v>185</v>
      </c>
      <c r="D35" t="s">
        <v>10</v>
      </c>
      <c r="E35">
        <v>261739</v>
      </c>
      <c r="F35">
        <v>0</v>
      </c>
    </row>
    <row r="36" spans="1:6" x14ac:dyDescent="0.25">
      <c r="A36" t="s">
        <v>3</v>
      </c>
      <c r="B36" s="6">
        <v>45741</v>
      </c>
      <c r="C36" t="s">
        <v>185</v>
      </c>
      <c r="D36" t="s">
        <v>10</v>
      </c>
      <c r="E36">
        <v>2750196</v>
      </c>
      <c r="F36">
        <v>0</v>
      </c>
    </row>
    <row r="37" spans="1:6" x14ac:dyDescent="0.25">
      <c r="A37" t="s">
        <v>3</v>
      </c>
      <c r="B37" s="6">
        <v>45733</v>
      </c>
      <c r="C37" t="s">
        <v>186</v>
      </c>
      <c r="D37" t="s">
        <v>8</v>
      </c>
      <c r="E37">
        <v>1634</v>
      </c>
      <c r="F37">
        <v>0</v>
      </c>
    </row>
    <row r="38" spans="1:6" x14ac:dyDescent="0.25">
      <c r="A38" t="s">
        <v>3</v>
      </c>
      <c r="B38" s="6">
        <v>45733</v>
      </c>
      <c r="C38" t="s">
        <v>186</v>
      </c>
      <c r="D38" t="s">
        <v>8</v>
      </c>
      <c r="E38">
        <v>1666</v>
      </c>
      <c r="F38">
        <v>0</v>
      </c>
    </row>
    <row r="39" spans="1:6" x14ac:dyDescent="0.25">
      <c r="A39" t="s">
        <v>3</v>
      </c>
      <c r="B39" s="6">
        <v>45733</v>
      </c>
      <c r="C39" t="s">
        <v>186</v>
      </c>
      <c r="D39" t="s">
        <v>8</v>
      </c>
      <c r="E39">
        <v>1045</v>
      </c>
      <c r="F39">
        <v>0</v>
      </c>
    </row>
    <row r="40" spans="1:6" x14ac:dyDescent="0.25">
      <c r="A40" t="s">
        <v>3</v>
      </c>
      <c r="B40" s="6">
        <v>45733</v>
      </c>
      <c r="C40" t="s">
        <v>182</v>
      </c>
      <c r="D40" t="s">
        <v>8</v>
      </c>
      <c r="E40">
        <v>20172</v>
      </c>
      <c r="F40">
        <v>0</v>
      </c>
    </row>
    <row r="41" spans="1:6" x14ac:dyDescent="0.25">
      <c r="A41" t="s">
        <v>3</v>
      </c>
      <c r="B41" s="6">
        <v>45733</v>
      </c>
      <c r="C41" t="s">
        <v>182</v>
      </c>
      <c r="D41" t="s">
        <v>8</v>
      </c>
      <c r="E41">
        <v>24405</v>
      </c>
      <c r="F41">
        <v>0</v>
      </c>
    </row>
    <row r="42" spans="1:6" x14ac:dyDescent="0.25">
      <c r="A42" t="s">
        <v>3</v>
      </c>
      <c r="B42" s="6">
        <v>45733</v>
      </c>
      <c r="C42" t="s">
        <v>184</v>
      </c>
      <c r="D42" t="s">
        <v>8</v>
      </c>
      <c r="E42">
        <v>97045</v>
      </c>
      <c r="F42">
        <v>0</v>
      </c>
    </row>
    <row r="43" spans="1:6" x14ac:dyDescent="0.25">
      <c r="A43" t="s">
        <v>3</v>
      </c>
      <c r="B43" s="6">
        <v>45733</v>
      </c>
      <c r="C43" t="s">
        <v>184</v>
      </c>
      <c r="D43" t="s">
        <v>8</v>
      </c>
      <c r="E43">
        <v>72421</v>
      </c>
      <c r="F43">
        <v>0</v>
      </c>
    </row>
    <row r="44" spans="1:6" x14ac:dyDescent="0.25">
      <c r="A44" t="s">
        <v>3</v>
      </c>
      <c r="B44" s="6">
        <v>45733</v>
      </c>
      <c r="C44" t="s">
        <v>184</v>
      </c>
      <c r="D44" t="s">
        <v>8</v>
      </c>
      <c r="E44">
        <v>143442</v>
      </c>
      <c r="F44">
        <v>0</v>
      </c>
    </row>
    <row r="45" spans="1:6" x14ac:dyDescent="0.25">
      <c r="A45" t="s">
        <v>3</v>
      </c>
      <c r="B45" s="6">
        <v>45733</v>
      </c>
      <c r="C45" t="s">
        <v>185</v>
      </c>
      <c r="D45" t="s">
        <v>8</v>
      </c>
      <c r="E45">
        <v>298892</v>
      </c>
      <c r="F45">
        <v>0</v>
      </c>
    </row>
    <row r="46" spans="1:6" x14ac:dyDescent="0.25">
      <c r="A46" t="s">
        <v>3</v>
      </c>
      <c r="B46" s="6">
        <v>45733</v>
      </c>
      <c r="C46" t="s">
        <v>187</v>
      </c>
      <c r="D46" t="s">
        <v>8</v>
      </c>
      <c r="E46">
        <v>1634</v>
      </c>
      <c r="F46">
        <v>0</v>
      </c>
    </row>
    <row r="47" spans="1:6" x14ac:dyDescent="0.25">
      <c r="A47" t="s">
        <v>3</v>
      </c>
      <c r="B47" s="6">
        <v>45733</v>
      </c>
      <c r="C47" t="s">
        <v>187</v>
      </c>
      <c r="D47" t="s">
        <v>8</v>
      </c>
      <c r="E47">
        <v>1666</v>
      </c>
      <c r="F47">
        <v>0</v>
      </c>
    </row>
    <row r="48" spans="1:6" x14ac:dyDescent="0.25">
      <c r="A48" t="s">
        <v>3</v>
      </c>
      <c r="B48" s="6">
        <v>45733</v>
      </c>
      <c r="C48" t="s">
        <v>187</v>
      </c>
      <c r="D48" t="s">
        <v>8</v>
      </c>
      <c r="E48">
        <v>1045</v>
      </c>
      <c r="F48">
        <v>0</v>
      </c>
    </row>
    <row r="49" spans="1:6" x14ac:dyDescent="0.25">
      <c r="A49" t="s">
        <v>3</v>
      </c>
      <c r="B49" s="6">
        <v>45733</v>
      </c>
      <c r="C49" t="s">
        <v>183</v>
      </c>
      <c r="D49" t="s">
        <v>8</v>
      </c>
      <c r="E49">
        <v>116547</v>
      </c>
      <c r="F49">
        <v>0</v>
      </c>
    </row>
    <row r="50" spans="1:6" x14ac:dyDescent="0.25">
      <c r="A50" t="s">
        <v>3</v>
      </c>
      <c r="B50" s="6">
        <v>45733</v>
      </c>
      <c r="C50" t="s">
        <v>183</v>
      </c>
      <c r="D50" t="s">
        <v>8</v>
      </c>
      <c r="E50">
        <v>56677</v>
      </c>
      <c r="F50">
        <v>0</v>
      </c>
    </row>
    <row r="51" spans="1:6" x14ac:dyDescent="0.25">
      <c r="A51" t="s">
        <v>3</v>
      </c>
      <c r="B51" s="6">
        <v>45733</v>
      </c>
      <c r="C51" t="s">
        <v>183</v>
      </c>
      <c r="D51" t="s">
        <v>8</v>
      </c>
      <c r="E51">
        <v>75948</v>
      </c>
      <c r="F51">
        <v>0</v>
      </c>
    </row>
    <row r="52" spans="1:6" x14ac:dyDescent="0.25">
      <c r="A52" t="s">
        <v>3</v>
      </c>
      <c r="B52" s="6">
        <v>45733</v>
      </c>
      <c r="C52" t="s">
        <v>188</v>
      </c>
      <c r="D52" t="s">
        <v>8</v>
      </c>
      <c r="E52">
        <v>1634</v>
      </c>
      <c r="F52">
        <v>0</v>
      </c>
    </row>
    <row r="53" spans="1:6" x14ac:dyDescent="0.25">
      <c r="A53" t="s">
        <v>3</v>
      </c>
      <c r="B53" s="6">
        <v>45733</v>
      </c>
      <c r="C53" t="s">
        <v>188</v>
      </c>
      <c r="D53" t="s">
        <v>8</v>
      </c>
      <c r="E53">
        <v>1666</v>
      </c>
      <c r="F53">
        <v>0</v>
      </c>
    </row>
    <row r="54" spans="1:6" x14ac:dyDescent="0.25">
      <c r="A54" t="s">
        <v>3</v>
      </c>
      <c r="B54" s="6">
        <v>45733</v>
      </c>
      <c r="C54" t="s">
        <v>188</v>
      </c>
      <c r="D54" t="s">
        <v>8</v>
      </c>
      <c r="E54">
        <v>1045</v>
      </c>
      <c r="F54">
        <v>0</v>
      </c>
    </row>
    <row r="55" spans="1:6" x14ac:dyDescent="0.25">
      <c r="A55" t="s">
        <v>3</v>
      </c>
      <c r="B55" s="6">
        <v>45733</v>
      </c>
      <c r="C55" t="s">
        <v>189</v>
      </c>
      <c r="D55" t="s">
        <v>8</v>
      </c>
      <c r="E55">
        <v>1634</v>
      </c>
      <c r="F55">
        <v>0</v>
      </c>
    </row>
    <row r="56" spans="1:6" x14ac:dyDescent="0.25">
      <c r="A56" t="s">
        <v>3</v>
      </c>
      <c r="B56" s="6">
        <v>45733</v>
      </c>
      <c r="C56" t="s">
        <v>189</v>
      </c>
      <c r="D56" t="s">
        <v>8</v>
      </c>
      <c r="E56">
        <v>1666</v>
      </c>
      <c r="F56">
        <v>0</v>
      </c>
    </row>
    <row r="57" spans="1:6" x14ac:dyDescent="0.25">
      <c r="A57" t="s">
        <v>3</v>
      </c>
      <c r="B57" s="6">
        <v>45733</v>
      </c>
      <c r="C57" t="s">
        <v>189</v>
      </c>
      <c r="D57" t="s">
        <v>8</v>
      </c>
      <c r="E57">
        <v>1045</v>
      </c>
      <c r="F57">
        <v>0</v>
      </c>
    </row>
    <row r="58" spans="1:6" x14ac:dyDescent="0.25">
      <c r="A58" t="s">
        <v>3</v>
      </c>
      <c r="B58" s="6">
        <v>45733</v>
      </c>
      <c r="C58" t="s">
        <v>179</v>
      </c>
      <c r="D58" t="s">
        <v>8</v>
      </c>
      <c r="E58">
        <v>116547</v>
      </c>
      <c r="F58">
        <v>0</v>
      </c>
    </row>
    <row r="59" spans="1:6" x14ac:dyDescent="0.25">
      <c r="A59" t="s">
        <v>3</v>
      </c>
      <c r="B59" s="6">
        <v>45733</v>
      </c>
      <c r="C59" t="s">
        <v>179</v>
      </c>
      <c r="D59" t="s">
        <v>8</v>
      </c>
      <c r="E59">
        <v>75948</v>
      </c>
      <c r="F59">
        <v>0</v>
      </c>
    </row>
    <row r="60" spans="1:6" x14ac:dyDescent="0.25">
      <c r="A60" t="s">
        <v>3</v>
      </c>
      <c r="B60" s="6">
        <v>45733</v>
      </c>
      <c r="C60" t="s">
        <v>179</v>
      </c>
      <c r="D60" t="s">
        <v>8</v>
      </c>
      <c r="E60">
        <v>56677</v>
      </c>
      <c r="F60">
        <v>0</v>
      </c>
    </row>
    <row r="61" spans="1:6" x14ac:dyDescent="0.25">
      <c r="A61" t="s">
        <v>3</v>
      </c>
      <c r="B61" s="6">
        <v>45733</v>
      </c>
      <c r="C61" t="s">
        <v>190</v>
      </c>
      <c r="D61" t="s">
        <v>8</v>
      </c>
      <c r="E61">
        <v>2333</v>
      </c>
      <c r="F61">
        <v>0</v>
      </c>
    </row>
    <row r="62" spans="1:6" x14ac:dyDescent="0.25">
      <c r="A62" t="s">
        <v>3</v>
      </c>
      <c r="B62" s="6">
        <v>45733</v>
      </c>
      <c r="C62" t="s">
        <v>190</v>
      </c>
      <c r="D62" t="s">
        <v>8</v>
      </c>
      <c r="E62">
        <v>2379</v>
      </c>
      <c r="F62">
        <v>0</v>
      </c>
    </row>
    <row r="63" spans="1:6" x14ac:dyDescent="0.25">
      <c r="A63" t="s">
        <v>3</v>
      </c>
      <c r="B63" s="6">
        <v>45733</v>
      </c>
      <c r="C63" t="s">
        <v>190</v>
      </c>
      <c r="D63" t="s">
        <v>8</v>
      </c>
      <c r="E63">
        <v>1487</v>
      </c>
      <c r="F63">
        <v>0</v>
      </c>
    </row>
    <row r="64" spans="1:6" x14ac:dyDescent="0.25">
      <c r="A64" t="s">
        <v>3</v>
      </c>
      <c r="B64" s="6">
        <v>45733</v>
      </c>
      <c r="C64" t="s">
        <v>191</v>
      </c>
      <c r="D64" t="s">
        <v>8</v>
      </c>
      <c r="E64">
        <v>1666</v>
      </c>
      <c r="F64">
        <v>0</v>
      </c>
    </row>
    <row r="65" spans="1:6" x14ac:dyDescent="0.25">
      <c r="A65" t="s">
        <v>3</v>
      </c>
      <c r="B65" s="6">
        <v>45733</v>
      </c>
      <c r="C65" t="s">
        <v>191</v>
      </c>
      <c r="D65" t="s">
        <v>8</v>
      </c>
      <c r="E65">
        <v>1634</v>
      </c>
      <c r="F65">
        <v>0</v>
      </c>
    </row>
    <row r="66" spans="1:6" x14ac:dyDescent="0.25">
      <c r="A66" t="s">
        <v>3</v>
      </c>
      <c r="B66" s="6">
        <v>45733</v>
      </c>
      <c r="C66" t="s">
        <v>191</v>
      </c>
      <c r="D66" t="s">
        <v>8</v>
      </c>
      <c r="E66">
        <v>1045</v>
      </c>
      <c r="F66">
        <v>0</v>
      </c>
    </row>
    <row r="67" spans="1:6" x14ac:dyDescent="0.25">
      <c r="A67" t="s">
        <v>3</v>
      </c>
      <c r="B67" s="6">
        <v>45733</v>
      </c>
      <c r="C67" t="s">
        <v>181</v>
      </c>
      <c r="D67" t="s">
        <v>8</v>
      </c>
      <c r="E67">
        <v>121925</v>
      </c>
      <c r="F67">
        <v>0</v>
      </c>
    </row>
    <row r="68" spans="1:6" x14ac:dyDescent="0.25">
      <c r="A68" t="s">
        <v>3</v>
      </c>
      <c r="B68" s="6">
        <v>45733</v>
      </c>
      <c r="C68" t="s">
        <v>181</v>
      </c>
      <c r="D68" t="s">
        <v>8</v>
      </c>
      <c r="E68">
        <v>33045</v>
      </c>
      <c r="F68">
        <v>0</v>
      </c>
    </row>
    <row r="69" spans="1:6" x14ac:dyDescent="0.25">
      <c r="A69" t="s">
        <v>3</v>
      </c>
      <c r="B69" s="6">
        <v>45733</v>
      </c>
      <c r="C69" t="s">
        <v>181</v>
      </c>
      <c r="D69" t="s">
        <v>8</v>
      </c>
      <c r="E69">
        <v>93629</v>
      </c>
      <c r="F69">
        <v>0</v>
      </c>
    </row>
    <row r="70" spans="1:6" x14ac:dyDescent="0.25">
      <c r="A70" t="s">
        <v>3</v>
      </c>
      <c r="B70" s="6">
        <v>45733</v>
      </c>
      <c r="C70" t="s">
        <v>192</v>
      </c>
      <c r="D70" t="s">
        <v>8</v>
      </c>
      <c r="E70">
        <v>1634</v>
      </c>
      <c r="F70">
        <v>0</v>
      </c>
    </row>
    <row r="71" spans="1:6" x14ac:dyDescent="0.25">
      <c r="A71" t="s">
        <v>3</v>
      </c>
      <c r="B71" s="6">
        <v>45733</v>
      </c>
      <c r="C71" t="s">
        <v>192</v>
      </c>
      <c r="D71" t="s">
        <v>8</v>
      </c>
      <c r="E71">
        <v>1666</v>
      </c>
      <c r="F71">
        <v>0</v>
      </c>
    </row>
    <row r="72" spans="1:6" x14ac:dyDescent="0.25">
      <c r="A72" t="s">
        <v>3</v>
      </c>
      <c r="B72" s="6">
        <v>45733</v>
      </c>
      <c r="C72" t="s">
        <v>192</v>
      </c>
      <c r="D72" t="s">
        <v>8</v>
      </c>
      <c r="E72">
        <v>3140</v>
      </c>
      <c r="F72">
        <v>0</v>
      </c>
    </row>
    <row r="73" spans="1:6" x14ac:dyDescent="0.25">
      <c r="A73" t="s">
        <v>3</v>
      </c>
      <c r="B73" s="6">
        <v>45729</v>
      </c>
      <c r="C73" t="s">
        <v>190</v>
      </c>
      <c r="D73" t="s">
        <v>180</v>
      </c>
      <c r="E73">
        <v>7813</v>
      </c>
      <c r="F73">
        <v>168.05</v>
      </c>
    </row>
    <row r="74" spans="1:6" x14ac:dyDescent="0.25">
      <c r="A74" t="s">
        <v>3</v>
      </c>
      <c r="B74" s="6">
        <v>45729</v>
      </c>
      <c r="C74" t="s">
        <v>190</v>
      </c>
      <c r="D74" t="s">
        <v>180</v>
      </c>
      <c r="E74">
        <v>7823</v>
      </c>
      <c r="F74">
        <v>166.36850000000001</v>
      </c>
    </row>
    <row r="75" spans="1:6" x14ac:dyDescent="0.25">
      <c r="A75" t="s">
        <v>3</v>
      </c>
      <c r="B75" s="6">
        <v>45729</v>
      </c>
      <c r="C75" t="s">
        <v>190</v>
      </c>
      <c r="D75" t="s">
        <v>180</v>
      </c>
      <c r="E75">
        <v>7854</v>
      </c>
      <c r="F75">
        <v>165.57310000000001</v>
      </c>
    </row>
    <row r="76" spans="1:6" x14ac:dyDescent="0.25">
      <c r="A76" t="s">
        <v>3</v>
      </c>
      <c r="B76" s="6">
        <v>45729</v>
      </c>
      <c r="C76" t="s">
        <v>190</v>
      </c>
      <c r="D76" t="s">
        <v>180</v>
      </c>
      <c r="E76">
        <v>7953</v>
      </c>
      <c r="F76">
        <v>164.61449999999999</v>
      </c>
    </row>
    <row r="77" spans="1:6" x14ac:dyDescent="0.25">
      <c r="A77" t="s">
        <v>3</v>
      </c>
      <c r="B77" s="6">
        <v>45721</v>
      </c>
      <c r="C77" t="s">
        <v>181</v>
      </c>
      <c r="D77" t="s">
        <v>8</v>
      </c>
      <c r="E77">
        <v>121779</v>
      </c>
      <c r="F77">
        <v>0</v>
      </c>
    </row>
    <row r="78" spans="1:6" x14ac:dyDescent="0.25">
      <c r="A78" t="s">
        <v>3</v>
      </c>
      <c r="B78" s="6">
        <v>45721</v>
      </c>
      <c r="C78" t="s">
        <v>184</v>
      </c>
      <c r="D78" t="s">
        <v>8</v>
      </c>
      <c r="E78">
        <v>143270</v>
      </c>
      <c r="F78">
        <v>0</v>
      </c>
    </row>
    <row r="79" spans="1:6" x14ac:dyDescent="0.25">
      <c r="A79" t="s">
        <v>3</v>
      </c>
      <c r="B79" s="6">
        <v>45721</v>
      </c>
      <c r="C79" t="s">
        <v>182</v>
      </c>
      <c r="D79" t="s">
        <v>8</v>
      </c>
      <c r="E79">
        <v>20148</v>
      </c>
      <c r="F79">
        <v>0</v>
      </c>
    </row>
    <row r="80" spans="1:6" x14ac:dyDescent="0.25">
      <c r="A80" t="s">
        <v>3</v>
      </c>
      <c r="B80" s="6">
        <v>45721</v>
      </c>
      <c r="C80" t="s">
        <v>183</v>
      </c>
      <c r="D80" t="s">
        <v>8</v>
      </c>
      <c r="E80">
        <v>116407</v>
      </c>
      <c r="F80">
        <v>0</v>
      </c>
    </row>
    <row r="81" spans="1:6" x14ac:dyDescent="0.25">
      <c r="A81" t="s">
        <v>3</v>
      </c>
      <c r="B81" s="6">
        <v>45721</v>
      </c>
      <c r="C81" t="s">
        <v>179</v>
      </c>
      <c r="D81" t="s">
        <v>8</v>
      </c>
      <c r="E81">
        <v>116407</v>
      </c>
      <c r="F81">
        <v>0</v>
      </c>
    </row>
    <row r="82" spans="1:6" x14ac:dyDescent="0.25">
      <c r="A82" t="s">
        <v>3</v>
      </c>
      <c r="B82" s="6">
        <v>45719</v>
      </c>
      <c r="C82" t="s">
        <v>183</v>
      </c>
      <c r="D82" t="s">
        <v>74</v>
      </c>
      <c r="E82">
        <v>975000</v>
      </c>
      <c r="F82">
        <v>0</v>
      </c>
    </row>
    <row r="83" spans="1:6" x14ac:dyDescent="0.25">
      <c r="A83" t="s">
        <v>3</v>
      </c>
      <c r="B83" s="6">
        <v>45719</v>
      </c>
      <c r="C83" t="s">
        <v>183</v>
      </c>
      <c r="D83" t="s">
        <v>74</v>
      </c>
      <c r="E83">
        <v>649286</v>
      </c>
      <c r="F83">
        <v>0</v>
      </c>
    </row>
    <row r="84" spans="1:6" x14ac:dyDescent="0.25">
      <c r="A84" t="s">
        <v>3</v>
      </c>
      <c r="B84" s="6">
        <v>45719</v>
      </c>
      <c r="C84" t="s">
        <v>182</v>
      </c>
      <c r="D84" t="s">
        <v>180</v>
      </c>
      <c r="E84">
        <v>15024</v>
      </c>
      <c r="F84">
        <v>173.47</v>
      </c>
    </row>
    <row r="85" spans="1:6" x14ac:dyDescent="0.25">
      <c r="A85" t="s">
        <v>3</v>
      </c>
      <c r="B85" s="6">
        <v>45716</v>
      </c>
      <c r="C85" t="s">
        <v>186</v>
      </c>
      <c r="D85" t="s">
        <v>180</v>
      </c>
      <c r="E85">
        <v>16938</v>
      </c>
      <c r="F85">
        <v>170.3</v>
      </c>
    </row>
    <row r="86" spans="1:6" x14ac:dyDescent="0.25">
      <c r="A86" t="s">
        <v>3</v>
      </c>
      <c r="B86" s="6">
        <v>45713</v>
      </c>
      <c r="C86" t="s">
        <v>182</v>
      </c>
      <c r="D86" t="s">
        <v>73</v>
      </c>
      <c r="E86">
        <v>0</v>
      </c>
      <c r="F86">
        <v>181.19</v>
      </c>
    </row>
    <row r="87" spans="1:6" x14ac:dyDescent="0.25">
      <c r="A87" t="s">
        <v>3</v>
      </c>
      <c r="B87" s="6">
        <v>45713</v>
      </c>
      <c r="C87" t="s">
        <v>182</v>
      </c>
      <c r="D87" t="s">
        <v>10</v>
      </c>
      <c r="E87">
        <v>1390</v>
      </c>
      <c r="F87">
        <v>0</v>
      </c>
    </row>
    <row r="88" spans="1:6" x14ac:dyDescent="0.25">
      <c r="A88" t="s">
        <v>3</v>
      </c>
      <c r="B88" s="6">
        <v>45713</v>
      </c>
      <c r="C88" t="s">
        <v>182</v>
      </c>
      <c r="D88" t="s">
        <v>10</v>
      </c>
      <c r="E88">
        <v>16398</v>
      </c>
      <c r="F88">
        <v>0</v>
      </c>
    </row>
    <row r="89" spans="1:6" x14ac:dyDescent="0.25">
      <c r="A89" t="s">
        <v>3</v>
      </c>
      <c r="B89" s="6">
        <v>45713</v>
      </c>
      <c r="C89" t="s">
        <v>190</v>
      </c>
      <c r="D89" t="s">
        <v>74</v>
      </c>
      <c r="E89">
        <v>8013</v>
      </c>
      <c r="F89">
        <v>0</v>
      </c>
    </row>
    <row r="90" spans="1:6" x14ac:dyDescent="0.25">
      <c r="A90" t="s">
        <v>3</v>
      </c>
      <c r="B90" s="6">
        <v>45713</v>
      </c>
      <c r="C90" t="s">
        <v>190</v>
      </c>
      <c r="D90" t="s">
        <v>74</v>
      </c>
      <c r="E90">
        <v>324</v>
      </c>
      <c r="F90">
        <v>0</v>
      </c>
    </row>
    <row r="91" spans="1:6" x14ac:dyDescent="0.25">
      <c r="A91" t="s">
        <v>3</v>
      </c>
      <c r="B91" s="6">
        <v>45709</v>
      </c>
      <c r="C91" t="s">
        <v>183</v>
      </c>
      <c r="D91" t="s">
        <v>180</v>
      </c>
      <c r="E91">
        <v>1449286</v>
      </c>
      <c r="F91">
        <v>186.79669999999999</v>
      </c>
    </row>
    <row r="92" spans="1:6" x14ac:dyDescent="0.25">
      <c r="A92" t="s">
        <v>3</v>
      </c>
      <c r="B92" s="6">
        <v>45709</v>
      </c>
      <c r="C92" t="s">
        <v>183</v>
      </c>
      <c r="D92" t="s">
        <v>180</v>
      </c>
      <c r="E92">
        <v>1451086</v>
      </c>
      <c r="F92">
        <v>186.2063</v>
      </c>
    </row>
    <row r="93" spans="1:6" x14ac:dyDescent="0.25">
      <c r="A93" t="s">
        <v>3</v>
      </c>
      <c r="B93" s="6">
        <v>45709</v>
      </c>
      <c r="C93" t="s">
        <v>183</v>
      </c>
      <c r="D93" t="s">
        <v>180</v>
      </c>
      <c r="E93">
        <v>1453288</v>
      </c>
      <c r="F93">
        <v>184.92580000000001</v>
      </c>
    </row>
    <row r="94" spans="1:6" x14ac:dyDescent="0.25">
      <c r="A94" t="s">
        <v>3</v>
      </c>
      <c r="B94" s="6">
        <v>45709</v>
      </c>
      <c r="C94" t="s">
        <v>183</v>
      </c>
      <c r="D94" t="s">
        <v>180</v>
      </c>
      <c r="E94">
        <v>1454490</v>
      </c>
      <c r="F94">
        <v>183.68680000000001</v>
      </c>
    </row>
    <row r="95" spans="1:6" x14ac:dyDescent="0.25">
      <c r="A95" t="s">
        <v>3</v>
      </c>
      <c r="B95" s="6">
        <v>45709</v>
      </c>
      <c r="C95" t="s">
        <v>183</v>
      </c>
      <c r="D95" t="s">
        <v>180</v>
      </c>
      <c r="E95">
        <v>1456914</v>
      </c>
      <c r="F95">
        <v>182.64869999999999</v>
      </c>
    </row>
    <row r="96" spans="1:6" x14ac:dyDescent="0.25">
      <c r="A96" t="s">
        <v>3</v>
      </c>
      <c r="B96" s="6">
        <v>45709</v>
      </c>
      <c r="C96" t="s">
        <v>183</v>
      </c>
      <c r="D96" t="s">
        <v>180</v>
      </c>
      <c r="E96">
        <v>1461121</v>
      </c>
      <c r="F96">
        <v>181.65280000000001</v>
      </c>
    </row>
    <row r="97" spans="1:6" x14ac:dyDescent="0.25">
      <c r="A97" t="s">
        <v>3</v>
      </c>
      <c r="B97" s="6">
        <v>45707</v>
      </c>
      <c r="C97" t="s">
        <v>179</v>
      </c>
      <c r="D97" t="s">
        <v>74</v>
      </c>
      <c r="E97">
        <v>23501</v>
      </c>
      <c r="F97">
        <v>0</v>
      </c>
    </row>
    <row r="98" spans="1:6" x14ac:dyDescent="0.25">
      <c r="A98" t="s">
        <v>3</v>
      </c>
      <c r="B98" s="6">
        <v>45707</v>
      </c>
      <c r="C98" t="s">
        <v>179</v>
      </c>
      <c r="D98" t="s">
        <v>74</v>
      </c>
      <c r="E98">
        <v>60801</v>
      </c>
      <c r="F98">
        <v>0</v>
      </c>
    </row>
    <row r="99" spans="1:6" x14ac:dyDescent="0.25">
      <c r="A99" t="s">
        <v>3</v>
      </c>
      <c r="B99" s="6">
        <v>45706</v>
      </c>
      <c r="C99" t="s">
        <v>179</v>
      </c>
      <c r="D99" t="s">
        <v>180</v>
      </c>
      <c r="E99">
        <v>43111</v>
      </c>
      <c r="F99">
        <v>187.04669999999999</v>
      </c>
    </row>
    <row r="100" spans="1:6" x14ac:dyDescent="0.25">
      <c r="A100" t="s">
        <v>3</v>
      </c>
      <c r="B100" s="6">
        <v>45706</v>
      </c>
      <c r="C100" t="s">
        <v>179</v>
      </c>
      <c r="D100" t="s">
        <v>180</v>
      </c>
      <c r="E100">
        <v>43711</v>
      </c>
      <c r="F100">
        <v>186.1207</v>
      </c>
    </row>
    <row r="101" spans="1:6" x14ac:dyDescent="0.25">
      <c r="A101" t="s">
        <v>3</v>
      </c>
      <c r="B101" s="6">
        <v>45706</v>
      </c>
      <c r="C101" t="s">
        <v>179</v>
      </c>
      <c r="D101" t="s">
        <v>180</v>
      </c>
      <c r="E101">
        <v>49313</v>
      </c>
      <c r="F101">
        <v>185.42509999999999</v>
      </c>
    </row>
    <row r="102" spans="1:6" x14ac:dyDescent="0.25">
      <c r="A102" t="s">
        <v>3</v>
      </c>
      <c r="B102" s="6">
        <v>45706</v>
      </c>
      <c r="C102" t="s">
        <v>179</v>
      </c>
      <c r="D102" t="s">
        <v>180</v>
      </c>
      <c r="E102">
        <v>57521</v>
      </c>
      <c r="F102">
        <v>184.40190000000001</v>
      </c>
    </row>
    <row r="103" spans="1:6" x14ac:dyDescent="0.25">
      <c r="A103" t="s">
        <v>3</v>
      </c>
      <c r="B103" s="6">
        <v>45706</v>
      </c>
      <c r="C103" t="s">
        <v>182</v>
      </c>
      <c r="D103" t="s">
        <v>180</v>
      </c>
      <c r="E103">
        <v>15024</v>
      </c>
      <c r="F103">
        <v>187.43</v>
      </c>
    </row>
    <row r="104" spans="1:6" x14ac:dyDescent="0.25">
      <c r="A104" t="s">
        <v>3</v>
      </c>
      <c r="B104" s="6">
        <v>45706</v>
      </c>
      <c r="C104" t="s">
        <v>189</v>
      </c>
      <c r="D104" t="s">
        <v>180</v>
      </c>
      <c r="E104">
        <v>264400</v>
      </c>
      <c r="F104">
        <v>185.50380000000001</v>
      </c>
    </row>
    <row r="105" spans="1:6" x14ac:dyDescent="0.25">
      <c r="A105" t="s">
        <v>3</v>
      </c>
      <c r="B105" s="6">
        <v>45706</v>
      </c>
      <c r="C105" t="s">
        <v>189</v>
      </c>
      <c r="D105" t="s">
        <v>180</v>
      </c>
      <c r="E105">
        <v>280310</v>
      </c>
      <c r="F105">
        <v>184.19980000000001</v>
      </c>
    </row>
    <row r="106" spans="1:6" x14ac:dyDescent="0.25">
      <c r="A106" t="s">
        <v>3</v>
      </c>
      <c r="B106" s="6">
        <v>45706</v>
      </c>
      <c r="C106" t="s">
        <v>189</v>
      </c>
      <c r="D106" t="s">
        <v>180</v>
      </c>
      <c r="E106">
        <v>283637</v>
      </c>
      <c r="F106">
        <v>182.494</v>
      </c>
    </row>
    <row r="107" spans="1:6" x14ac:dyDescent="0.25">
      <c r="A107" t="s">
        <v>3</v>
      </c>
      <c r="B107" s="6">
        <v>45706</v>
      </c>
      <c r="C107" t="s">
        <v>189</v>
      </c>
      <c r="D107" t="s">
        <v>180</v>
      </c>
      <c r="E107">
        <v>285008</v>
      </c>
      <c r="F107">
        <v>183.44499999999999</v>
      </c>
    </row>
    <row r="108" spans="1:6" x14ac:dyDescent="0.25">
      <c r="A108" t="s">
        <v>3</v>
      </c>
      <c r="B108" s="6">
        <v>45706</v>
      </c>
      <c r="C108" t="s">
        <v>189</v>
      </c>
      <c r="D108" t="s">
        <v>180</v>
      </c>
      <c r="E108">
        <v>272466</v>
      </c>
      <c r="F108">
        <v>185.50980000000001</v>
      </c>
    </row>
    <row r="109" spans="1:6" x14ac:dyDescent="0.25">
      <c r="A109" t="s">
        <v>3</v>
      </c>
      <c r="B109" s="6">
        <v>45706</v>
      </c>
      <c r="C109" t="s">
        <v>189</v>
      </c>
      <c r="D109" t="s">
        <v>180</v>
      </c>
      <c r="E109">
        <v>291732</v>
      </c>
      <c r="F109">
        <v>184.48240000000001</v>
      </c>
    </row>
    <row r="110" spans="1:6" x14ac:dyDescent="0.25">
      <c r="A110" t="s">
        <v>3</v>
      </c>
      <c r="B110" s="6">
        <v>45706</v>
      </c>
      <c r="C110" t="s">
        <v>189</v>
      </c>
      <c r="D110" t="s">
        <v>180</v>
      </c>
      <c r="E110">
        <v>294232</v>
      </c>
      <c r="F110">
        <v>183.79320000000001</v>
      </c>
    </row>
    <row r="111" spans="1:6" x14ac:dyDescent="0.25">
      <c r="A111" t="s">
        <v>3</v>
      </c>
      <c r="B111" s="6">
        <v>45706</v>
      </c>
      <c r="C111" t="s">
        <v>189</v>
      </c>
      <c r="D111" t="s">
        <v>180</v>
      </c>
      <c r="E111">
        <v>298789</v>
      </c>
      <c r="F111">
        <v>182.6979</v>
      </c>
    </row>
    <row r="112" spans="1:6" x14ac:dyDescent="0.25">
      <c r="A112" t="s">
        <v>3</v>
      </c>
      <c r="B112" s="6">
        <v>45691</v>
      </c>
      <c r="C112" t="s">
        <v>182</v>
      </c>
      <c r="D112" t="s">
        <v>180</v>
      </c>
      <c r="E112">
        <v>17848</v>
      </c>
      <c r="F112">
        <v>202.08</v>
      </c>
    </row>
    <row r="113" spans="1:6" x14ac:dyDescent="0.25">
      <c r="A113" t="s">
        <v>3</v>
      </c>
      <c r="B113" s="6">
        <v>45688</v>
      </c>
      <c r="C113" t="s">
        <v>189</v>
      </c>
      <c r="D113" t="s">
        <v>180</v>
      </c>
      <c r="E113">
        <v>288400</v>
      </c>
      <c r="F113">
        <v>205</v>
      </c>
    </row>
    <row r="114" spans="1:6" x14ac:dyDescent="0.25">
      <c r="A114" t="s">
        <v>3</v>
      </c>
      <c r="B114" s="6">
        <v>45688</v>
      </c>
      <c r="C114" t="s">
        <v>189</v>
      </c>
      <c r="D114" t="s">
        <v>180</v>
      </c>
      <c r="E114">
        <v>301532</v>
      </c>
      <c r="F114">
        <v>205</v>
      </c>
    </row>
    <row r="115" spans="1:6" x14ac:dyDescent="0.25">
      <c r="A115" t="s">
        <v>3</v>
      </c>
      <c r="B115" s="6">
        <v>45687</v>
      </c>
      <c r="C115" t="s">
        <v>186</v>
      </c>
      <c r="D115" t="s">
        <v>180</v>
      </c>
      <c r="E115">
        <v>16819</v>
      </c>
      <c r="F115">
        <v>200</v>
      </c>
    </row>
    <row r="116" spans="1:6" x14ac:dyDescent="0.25">
      <c r="A116" t="s">
        <v>3</v>
      </c>
      <c r="B116" s="6">
        <v>45682</v>
      </c>
      <c r="C116" t="s">
        <v>182</v>
      </c>
      <c r="D116" t="s">
        <v>73</v>
      </c>
      <c r="E116">
        <v>2764</v>
      </c>
      <c r="F116">
        <v>201.9</v>
      </c>
    </row>
    <row r="117" spans="1:6" x14ac:dyDescent="0.25">
      <c r="A117" t="s">
        <v>3</v>
      </c>
      <c r="B117" s="6">
        <v>45682</v>
      </c>
      <c r="C117" t="s">
        <v>182</v>
      </c>
      <c r="D117" t="s">
        <v>10</v>
      </c>
      <c r="E117">
        <v>4189</v>
      </c>
      <c r="F117">
        <v>0</v>
      </c>
    </row>
    <row r="118" spans="1:6" x14ac:dyDescent="0.25">
      <c r="A118" t="s">
        <v>3</v>
      </c>
      <c r="B118" s="6">
        <v>45682</v>
      </c>
      <c r="C118" t="s">
        <v>182</v>
      </c>
      <c r="D118" t="s">
        <v>10</v>
      </c>
      <c r="E118">
        <v>19188</v>
      </c>
      <c r="F118">
        <v>0</v>
      </c>
    </row>
    <row r="119" spans="1:6" x14ac:dyDescent="0.25">
      <c r="A119" t="s">
        <v>3</v>
      </c>
      <c r="B119" s="6">
        <v>45680</v>
      </c>
      <c r="C119" t="s">
        <v>185</v>
      </c>
      <c r="D119" t="s">
        <v>73</v>
      </c>
      <c r="E119">
        <v>2713044</v>
      </c>
      <c r="F119">
        <v>200.03</v>
      </c>
    </row>
    <row r="120" spans="1:6" x14ac:dyDescent="0.25">
      <c r="A120" t="s">
        <v>3</v>
      </c>
      <c r="B120" s="6">
        <v>45680</v>
      </c>
      <c r="C120" t="s">
        <v>185</v>
      </c>
      <c r="D120" t="s">
        <v>8</v>
      </c>
      <c r="E120">
        <v>3387756</v>
      </c>
      <c r="F120">
        <v>0</v>
      </c>
    </row>
    <row r="121" spans="1:6" x14ac:dyDescent="0.25">
      <c r="A121" t="s">
        <v>3</v>
      </c>
      <c r="B121" s="6">
        <v>45672</v>
      </c>
      <c r="C121" t="s">
        <v>182</v>
      </c>
      <c r="D121" t="s">
        <v>180</v>
      </c>
      <c r="E121">
        <v>17847</v>
      </c>
      <c r="F121">
        <v>194.32</v>
      </c>
    </row>
    <row r="122" spans="1:6" x14ac:dyDescent="0.25">
      <c r="A122" t="s">
        <v>3</v>
      </c>
      <c r="B122" s="6">
        <v>45670</v>
      </c>
      <c r="C122" t="s">
        <v>190</v>
      </c>
      <c r="D122" t="s">
        <v>180</v>
      </c>
      <c r="E122">
        <v>21928</v>
      </c>
      <c r="F122">
        <v>190.39850000000001</v>
      </c>
    </row>
    <row r="123" spans="1:6" x14ac:dyDescent="0.25">
      <c r="A123" t="s">
        <v>3</v>
      </c>
      <c r="B123" s="6">
        <v>45670</v>
      </c>
      <c r="C123" t="s">
        <v>190</v>
      </c>
      <c r="D123" t="s">
        <v>180</v>
      </c>
      <c r="E123">
        <v>22650</v>
      </c>
      <c r="F123">
        <v>189.44069999999999</v>
      </c>
    </row>
    <row r="124" spans="1:6" x14ac:dyDescent="0.25">
      <c r="A124" t="s">
        <v>3</v>
      </c>
      <c r="B124" s="6">
        <v>45670</v>
      </c>
      <c r="C124" t="s">
        <v>190</v>
      </c>
      <c r="D124" t="s">
        <v>180</v>
      </c>
      <c r="E124">
        <v>21824</v>
      </c>
      <c r="F124">
        <v>187.90299999999999</v>
      </c>
    </row>
    <row r="125" spans="1:6" x14ac:dyDescent="0.25">
      <c r="A125" t="s">
        <v>3</v>
      </c>
      <c r="B125" s="6">
        <v>45666</v>
      </c>
      <c r="C125" t="s">
        <v>184</v>
      </c>
      <c r="D125" t="s">
        <v>73</v>
      </c>
      <c r="E125">
        <v>684580</v>
      </c>
      <c r="F125">
        <v>195.39</v>
      </c>
    </row>
    <row r="126" spans="1:6" x14ac:dyDescent="0.25">
      <c r="A126" t="s">
        <v>3</v>
      </c>
      <c r="B126" s="6">
        <v>45666</v>
      </c>
      <c r="C126" t="s">
        <v>184</v>
      </c>
      <c r="D126" t="s">
        <v>8</v>
      </c>
      <c r="E126">
        <v>725000</v>
      </c>
      <c r="F126">
        <v>0</v>
      </c>
    </row>
    <row r="127" spans="1:6" x14ac:dyDescent="0.25">
      <c r="A127" t="s">
        <v>3</v>
      </c>
      <c r="B127" s="6">
        <v>45666</v>
      </c>
      <c r="C127" t="s">
        <v>183</v>
      </c>
      <c r="D127" t="s">
        <v>73</v>
      </c>
      <c r="E127">
        <v>1466975</v>
      </c>
      <c r="F127">
        <v>195.39</v>
      </c>
    </row>
    <row r="128" spans="1:6" x14ac:dyDescent="0.25">
      <c r="A128" t="s">
        <v>3</v>
      </c>
      <c r="B128" s="6">
        <v>45666</v>
      </c>
      <c r="C128" t="s">
        <v>183</v>
      </c>
      <c r="D128" t="s">
        <v>8</v>
      </c>
      <c r="E128">
        <v>1483393</v>
      </c>
      <c r="F128">
        <v>0</v>
      </c>
    </row>
    <row r="129" spans="1:6" x14ac:dyDescent="0.25">
      <c r="A129" t="s">
        <v>3</v>
      </c>
      <c r="B129" s="6">
        <v>45666</v>
      </c>
      <c r="C129" t="s">
        <v>179</v>
      </c>
      <c r="D129" t="s">
        <v>73</v>
      </c>
      <c r="E129">
        <v>41191</v>
      </c>
      <c r="F129">
        <v>195.39</v>
      </c>
    </row>
    <row r="130" spans="1:6" x14ac:dyDescent="0.25">
      <c r="A130" t="s">
        <v>3</v>
      </c>
      <c r="B130" s="6">
        <v>45666</v>
      </c>
      <c r="C130" t="s">
        <v>179</v>
      </c>
      <c r="D130" t="s">
        <v>8</v>
      </c>
      <c r="E130">
        <v>57608</v>
      </c>
      <c r="F130">
        <v>0</v>
      </c>
    </row>
    <row r="131" spans="1:6" x14ac:dyDescent="0.25">
      <c r="A131" t="s">
        <v>3</v>
      </c>
      <c r="B131" s="6">
        <v>45659</v>
      </c>
      <c r="C131" t="s">
        <v>182</v>
      </c>
      <c r="D131" t="s">
        <v>180</v>
      </c>
      <c r="E131">
        <v>20681</v>
      </c>
      <c r="F131">
        <v>191.55</v>
      </c>
    </row>
    <row r="132" spans="1:6" x14ac:dyDescent="0.25">
      <c r="A132" t="s">
        <v>3</v>
      </c>
      <c r="B132" s="6">
        <v>45657</v>
      </c>
      <c r="C132" t="s">
        <v>186</v>
      </c>
      <c r="D132" t="s">
        <v>180</v>
      </c>
      <c r="E132">
        <v>16709</v>
      </c>
      <c r="F132">
        <v>192.49</v>
      </c>
    </row>
    <row r="133" spans="1:6" x14ac:dyDescent="0.25">
      <c r="A133" t="s">
        <v>3</v>
      </c>
      <c r="B133" s="6">
        <v>45657</v>
      </c>
      <c r="C133" t="s">
        <v>179</v>
      </c>
      <c r="D133" t="s">
        <v>74</v>
      </c>
      <c r="E133">
        <v>23500</v>
      </c>
      <c r="F133">
        <v>0</v>
      </c>
    </row>
    <row r="134" spans="1:6" x14ac:dyDescent="0.25">
      <c r="A134" t="s">
        <v>3</v>
      </c>
      <c r="B134" s="6">
        <v>45657</v>
      </c>
      <c r="C134" t="s">
        <v>179</v>
      </c>
      <c r="D134" t="s">
        <v>74</v>
      </c>
      <c r="E134">
        <v>60801</v>
      </c>
      <c r="F134">
        <v>0</v>
      </c>
    </row>
    <row r="135" spans="1:6" x14ac:dyDescent="0.25">
      <c r="A135" t="s">
        <v>3</v>
      </c>
      <c r="B135" s="6">
        <v>45656</v>
      </c>
      <c r="C135" t="s">
        <v>179</v>
      </c>
      <c r="D135" t="s">
        <v>180</v>
      </c>
      <c r="E135">
        <v>43981</v>
      </c>
      <c r="F135">
        <v>193.69499999999999</v>
      </c>
    </row>
    <row r="136" spans="1:6" x14ac:dyDescent="0.25">
      <c r="A136" t="s">
        <v>3</v>
      </c>
      <c r="B136" s="6">
        <v>45656</v>
      </c>
      <c r="C136" t="s">
        <v>179</v>
      </c>
      <c r="D136" t="s">
        <v>180</v>
      </c>
      <c r="E136">
        <v>44181</v>
      </c>
      <c r="F136">
        <v>193.2285</v>
      </c>
    </row>
    <row r="137" spans="1:6" x14ac:dyDescent="0.25">
      <c r="A137" t="s">
        <v>3</v>
      </c>
      <c r="B137" s="6">
        <v>45656</v>
      </c>
      <c r="C137" t="s">
        <v>179</v>
      </c>
      <c r="D137" t="s">
        <v>180</v>
      </c>
      <c r="E137">
        <v>53670</v>
      </c>
      <c r="F137">
        <v>191.99430000000001</v>
      </c>
    </row>
    <row r="138" spans="1:6" x14ac:dyDescent="0.25">
      <c r="A138" t="s">
        <v>3</v>
      </c>
      <c r="B138" s="6">
        <v>45656</v>
      </c>
      <c r="C138" t="s">
        <v>179</v>
      </c>
      <c r="D138" t="s">
        <v>180</v>
      </c>
      <c r="E138">
        <v>58601</v>
      </c>
      <c r="F138">
        <v>191.3218</v>
      </c>
    </row>
    <row r="139" spans="1:6" x14ac:dyDescent="0.25">
      <c r="A139" t="s">
        <v>3</v>
      </c>
      <c r="B139" s="6">
        <v>45651</v>
      </c>
      <c r="C139" t="s">
        <v>182</v>
      </c>
      <c r="D139" t="s">
        <v>73</v>
      </c>
      <c r="E139">
        <v>5529</v>
      </c>
      <c r="F139">
        <v>197.57</v>
      </c>
    </row>
    <row r="140" spans="1:6" x14ac:dyDescent="0.25">
      <c r="A140" t="s">
        <v>3</v>
      </c>
      <c r="B140" s="6">
        <v>45651</v>
      </c>
      <c r="C140" t="s">
        <v>182</v>
      </c>
      <c r="D140" t="s">
        <v>10</v>
      </c>
      <c r="E140">
        <v>6924</v>
      </c>
      <c r="F140">
        <v>0</v>
      </c>
    </row>
    <row r="141" spans="1:6" x14ac:dyDescent="0.25">
      <c r="A141" t="s">
        <v>3</v>
      </c>
      <c r="B141" s="6">
        <v>45651</v>
      </c>
      <c r="C141" t="s">
        <v>182</v>
      </c>
      <c r="D141" t="s">
        <v>10</v>
      </c>
      <c r="E141">
        <v>22049</v>
      </c>
      <c r="F141">
        <v>0</v>
      </c>
    </row>
    <row r="142" spans="1:6" x14ac:dyDescent="0.25">
      <c r="A142" t="s">
        <v>3</v>
      </c>
      <c r="B142" s="6">
        <v>45651</v>
      </c>
      <c r="C142" t="s">
        <v>181</v>
      </c>
      <c r="D142" t="s">
        <v>10</v>
      </c>
      <c r="E142">
        <v>0</v>
      </c>
      <c r="F142">
        <v>0</v>
      </c>
    </row>
    <row r="143" spans="1:6" x14ac:dyDescent="0.25">
      <c r="A143" t="s">
        <v>3</v>
      </c>
      <c r="B143" s="6">
        <v>45651</v>
      </c>
      <c r="C143" t="s">
        <v>181</v>
      </c>
      <c r="D143" t="s">
        <v>73</v>
      </c>
      <c r="E143">
        <v>17843</v>
      </c>
      <c r="F143">
        <v>197.57</v>
      </c>
    </row>
    <row r="144" spans="1:6" x14ac:dyDescent="0.25">
      <c r="A144" t="s">
        <v>3</v>
      </c>
      <c r="B144" s="6">
        <v>45651</v>
      </c>
      <c r="C144" t="s">
        <v>181</v>
      </c>
      <c r="D144" t="s">
        <v>10</v>
      </c>
      <c r="E144">
        <v>35668</v>
      </c>
      <c r="F144">
        <v>0</v>
      </c>
    </row>
    <row r="145" spans="1:6" x14ac:dyDescent="0.25">
      <c r="A145" t="s">
        <v>3</v>
      </c>
      <c r="B145" s="6">
        <v>45651</v>
      </c>
      <c r="C145" t="s">
        <v>184</v>
      </c>
      <c r="D145" t="s">
        <v>73</v>
      </c>
      <c r="E145">
        <v>96928</v>
      </c>
      <c r="F145">
        <v>197.57</v>
      </c>
    </row>
    <row r="146" spans="1:6" x14ac:dyDescent="0.25">
      <c r="A146" t="s">
        <v>3</v>
      </c>
      <c r="B146" s="6">
        <v>45651</v>
      </c>
      <c r="C146" t="s">
        <v>184</v>
      </c>
      <c r="D146" t="s">
        <v>10</v>
      </c>
      <c r="E146">
        <v>103044</v>
      </c>
      <c r="F146">
        <v>0</v>
      </c>
    </row>
    <row r="147" spans="1:6" x14ac:dyDescent="0.25">
      <c r="A147" t="s">
        <v>3</v>
      </c>
      <c r="B147" s="6">
        <v>45651</v>
      </c>
      <c r="C147" t="s">
        <v>184</v>
      </c>
      <c r="D147" t="s">
        <v>73</v>
      </c>
      <c r="E147">
        <v>72334</v>
      </c>
      <c r="F147">
        <v>197.57</v>
      </c>
    </row>
    <row r="148" spans="1:6" x14ac:dyDescent="0.25">
      <c r="A148" t="s">
        <v>3</v>
      </c>
      <c r="B148" s="6">
        <v>45651</v>
      </c>
      <c r="C148" t="s">
        <v>184</v>
      </c>
      <c r="D148" t="s">
        <v>10</v>
      </c>
      <c r="E148">
        <v>81463</v>
      </c>
      <c r="F148">
        <v>0</v>
      </c>
    </row>
    <row r="149" spans="1:6" x14ac:dyDescent="0.25">
      <c r="A149" t="s">
        <v>3</v>
      </c>
      <c r="B149" s="6">
        <v>45651</v>
      </c>
      <c r="C149" t="s">
        <v>184</v>
      </c>
      <c r="D149" t="s">
        <v>73</v>
      </c>
      <c r="E149">
        <v>0</v>
      </c>
      <c r="F149">
        <v>197.57</v>
      </c>
    </row>
    <row r="150" spans="1:6" x14ac:dyDescent="0.25">
      <c r="A150" t="s">
        <v>3</v>
      </c>
      <c r="B150" s="6">
        <v>45651</v>
      </c>
      <c r="C150" t="s">
        <v>184</v>
      </c>
      <c r="D150" t="s">
        <v>10</v>
      </c>
      <c r="E150">
        <v>6665</v>
      </c>
      <c r="F150">
        <v>0</v>
      </c>
    </row>
    <row r="151" spans="1:6" x14ac:dyDescent="0.25">
      <c r="A151" t="s">
        <v>3</v>
      </c>
      <c r="B151" s="6">
        <v>45651</v>
      </c>
      <c r="C151" t="s">
        <v>184</v>
      </c>
      <c r="D151" t="s">
        <v>10</v>
      </c>
      <c r="E151">
        <v>643156</v>
      </c>
      <c r="F151">
        <v>0</v>
      </c>
    </row>
    <row r="152" spans="1:6" x14ac:dyDescent="0.25">
      <c r="A152" t="s">
        <v>3</v>
      </c>
      <c r="B152" s="6">
        <v>45651</v>
      </c>
      <c r="C152" t="s">
        <v>185</v>
      </c>
      <c r="D152" t="s">
        <v>73</v>
      </c>
      <c r="E152">
        <v>298533</v>
      </c>
      <c r="F152">
        <v>197.57</v>
      </c>
    </row>
    <row r="153" spans="1:6" x14ac:dyDescent="0.25">
      <c r="A153" t="s">
        <v>3</v>
      </c>
      <c r="B153" s="6">
        <v>45651</v>
      </c>
      <c r="C153" t="s">
        <v>185</v>
      </c>
      <c r="D153" t="s">
        <v>10</v>
      </c>
      <c r="E153">
        <v>336208</v>
      </c>
      <c r="F153">
        <v>0</v>
      </c>
    </row>
    <row r="154" spans="1:6" x14ac:dyDescent="0.25">
      <c r="A154" t="s">
        <v>3</v>
      </c>
      <c r="B154" s="6">
        <v>45651</v>
      </c>
      <c r="C154" t="s">
        <v>185</v>
      </c>
      <c r="D154" t="s">
        <v>10</v>
      </c>
      <c r="E154">
        <v>2044364</v>
      </c>
      <c r="F154">
        <v>0</v>
      </c>
    </row>
    <row r="155" spans="1:6" x14ac:dyDescent="0.25">
      <c r="A155" t="s">
        <v>3</v>
      </c>
      <c r="B155" s="6">
        <v>45651</v>
      </c>
      <c r="C155" t="s">
        <v>183</v>
      </c>
      <c r="D155" t="s">
        <v>73</v>
      </c>
      <c r="E155">
        <v>75858</v>
      </c>
      <c r="F155">
        <v>197.57</v>
      </c>
    </row>
    <row r="156" spans="1:6" x14ac:dyDescent="0.25">
      <c r="A156" t="s">
        <v>3</v>
      </c>
      <c r="B156" s="6">
        <v>45651</v>
      </c>
      <c r="C156" t="s">
        <v>183</v>
      </c>
      <c r="D156" t="s">
        <v>10</v>
      </c>
      <c r="E156">
        <v>80644</v>
      </c>
      <c r="F156">
        <v>0</v>
      </c>
    </row>
    <row r="157" spans="1:6" x14ac:dyDescent="0.25">
      <c r="A157" t="s">
        <v>3</v>
      </c>
      <c r="B157" s="6">
        <v>45651</v>
      </c>
      <c r="C157" t="s">
        <v>183</v>
      </c>
      <c r="D157" t="s">
        <v>73</v>
      </c>
      <c r="E157">
        <v>56609</v>
      </c>
      <c r="F157">
        <v>197.57</v>
      </c>
    </row>
    <row r="158" spans="1:6" x14ac:dyDescent="0.25">
      <c r="A158" t="s">
        <v>3</v>
      </c>
      <c r="B158" s="6">
        <v>45651</v>
      </c>
      <c r="C158" t="s">
        <v>183</v>
      </c>
      <c r="D158" t="s">
        <v>10</v>
      </c>
      <c r="E158">
        <v>63753</v>
      </c>
      <c r="F158">
        <v>0</v>
      </c>
    </row>
    <row r="159" spans="1:6" x14ac:dyDescent="0.25">
      <c r="A159" t="s">
        <v>3</v>
      </c>
      <c r="B159" s="6">
        <v>45651</v>
      </c>
      <c r="C159" t="s">
        <v>183</v>
      </c>
      <c r="D159" t="s">
        <v>73</v>
      </c>
      <c r="E159">
        <v>0</v>
      </c>
      <c r="F159">
        <v>197.57</v>
      </c>
    </row>
    <row r="160" spans="1:6" x14ac:dyDescent="0.25">
      <c r="A160" t="s">
        <v>3</v>
      </c>
      <c r="B160" s="6">
        <v>45651</v>
      </c>
      <c r="C160" t="s">
        <v>183</v>
      </c>
      <c r="D160" t="s">
        <v>10</v>
      </c>
      <c r="E160">
        <v>5217</v>
      </c>
      <c r="F160">
        <v>0</v>
      </c>
    </row>
    <row r="161" spans="1:6" x14ac:dyDescent="0.25">
      <c r="A161" t="s">
        <v>3</v>
      </c>
      <c r="B161" s="6">
        <v>45651</v>
      </c>
      <c r="C161" t="s">
        <v>183</v>
      </c>
      <c r="D161" t="s">
        <v>10</v>
      </c>
      <c r="E161">
        <v>1449285</v>
      </c>
      <c r="F161">
        <v>0</v>
      </c>
    </row>
    <row r="162" spans="1:6" x14ac:dyDescent="0.25">
      <c r="A162" t="s">
        <v>3</v>
      </c>
      <c r="B162" s="6">
        <v>45651</v>
      </c>
      <c r="C162" t="s">
        <v>179</v>
      </c>
      <c r="D162" t="s">
        <v>73</v>
      </c>
      <c r="E162">
        <v>75858</v>
      </c>
      <c r="F162">
        <v>197.57</v>
      </c>
    </row>
    <row r="163" spans="1:6" x14ac:dyDescent="0.25">
      <c r="A163" t="s">
        <v>3</v>
      </c>
      <c r="B163" s="6">
        <v>45651</v>
      </c>
      <c r="C163" t="s">
        <v>179</v>
      </c>
      <c r="D163" t="s">
        <v>10</v>
      </c>
      <c r="E163">
        <v>80644</v>
      </c>
      <c r="F163">
        <v>0</v>
      </c>
    </row>
    <row r="164" spans="1:6" x14ac:dyDescent="0.25">
      <c r="A164" t="s">
        <v>3</v>
      </c>
      <c r="B164" s="6">
        <v>45651</v>
      </c>
      <c r="C164" t="s">
        <v>179</v>
      </c>
      <c r="D164" t="s">
        <v>73</v>
      </c>
      <c r="E164">
        <v>56609</v>
      </c>
      <c r="F164">
        <v>197.57</v>
      </c>
    </row>
    <row r="165" spans="1:6" x14ac:dyDescent="0.25">
      <c r="A165" t="s">
        <v>3</v>
      </c>
      <c r="B165" s="6">
        <v>45651</v>
      </c>
      <c r="C165" t="s">
        <v>179</v>
      </c>
      <c r="D165" t="s">
        <v>10</v>
      </c>
      <c r="E165">
        <v>63753</v>
      </c>
      <c r="F165">
        <v>0</v>
      </c>
    </row>
    <row r="166" spans="1:6" x14ac:dyDescent="0.25">
      <c r="A166" t="s">
        <v>3</v>
      </c>
      <c r="B166" s="6">
        <v>45651</v>
      </c>
      <c r="C166" t="s">
        <v>179</v>
      </c>
      <c r="D166" t="s">
        <v>73</v>
      </c>
      <c r="E166">
        <v>0</v>
      </c>
      <c r="F166">
        <v>197.57</v>
      </c>
    </row>
    <row r="167" spans="1:6" x14ac:dyDescent="0.25">
      <c r="A167" t="s">
        <v>3</v>
      </c>
      <c r="B167" s="6">
        <v>45651</v>
      </c>
      <c r="C167" t="s">
        <v>179</v>
      </c>
      <c r="D167" t="s">
        <v>10</v>
      </c>
      <c r="E167">
        <v>5218</v>
      </c>
      <c r="F167">
        <v>0</v>
      </c>
    </row>
    <row r="168" spans="1:6" x14ac:dyDescent="0.25">
      <c r="A168" t="s">
        <v>3</v>
      </c>
      <c r="B168" s="6">
        <v>45651</v>
      </c>
      <c r="C168" t="s">
        <v>179</v>
      </c>
      <c r="D168" t="s">
        <v>10</v>
      </c>
      <c r="E168">
        <v>40320</v>
      </c>
      <c r="F168">
        <v>0</v>
      </c>
    </row>
    <row r="169" spans="1:6" x14ac:dyDescent="0.25">
      <c r="A169" t="s">
        <v>3</v>
      </c>
      <c r="B169" s="6">
        <v>45644</v>
      </c>
      <c r="C169" t="s">
        <v>189</v>
      </c>
      <c r="D169" t="s">
        <v>74</v>
      </c>
      <c r="E169">
        <v>844097</v>
      </c>
      <c r="F169">
        <v>0</v>
      </c>
    </row>
    <row r="170" spans="1:6" x14ac:dyDescent="0.25">
      <c r="A170" t="s">
        <v>3</v>
      </c>
      <c r="B170" s="6">
        <v>45644</v>
      </c>
      <c r="C170" t="s">
        <v>189</v>
      </c>
      <c r="D170" t="s">
        <v>74</v>
      </c>
      <c r="E170">
        <v>757226</v>
      </c>
      <c r="F170">
        <v>0</v>
      </c>
    </row>
    <row r="171" spans="1:6" x14ac:dyDescent="0.25">
      <c r="A171" t="s">
        <v>3</v>
      </c>
      <c r="B171" s="6">
        <v>45644</v>
      </c>
      <c r="C171" t="s">
        <v>189</v>
      </c>
      <c r="D171" t="s">
        <v>74</v>
      </c>
      <c r="E171">
        <v>187710</v>
      </c>
      <c r="F171">
        <v>0</v>
      </c>
    </row>
    <row r="172" spans="1:6" x14ac:dyDescent="0.25">
      <c r="A172" t="s">
        <v>3</v>
      </c>
      <c r="B172" s="6">
        <v>45644</v>
      </c>
      <c r="C172" t="s">
        <v>189</v>
      </c>
      <c r="D172" t="s">
        <v>74</v>
      </c>
      <c r="E172">
        <v>187710</v>
      </c>
      <c r="F172">
        <v>0</v>
      </c>
    </row>
    <row r="173" spans="1:6" x14ac:dyDescent="0.25">
      <c r="A173" t="s">
        <v>3</v>
      </c>
      <c r="B173" s="6">
        <v>45644</v>
      </c>
      <c r="C173" t="s">
        <v>189</v>
      </c>
      <c r="D173" t="s">
        <v>74</v>
      </c>
      <c r="E173">
        <v>187710</v>
      </c>
      <c r="F173">
        <v>0</v>
      </c>
    </row>
    <row r="174" spans="1:6" x14ac:dyDescent="0.25">
      <c r="A174" t="s">
        <v>3</v>
      </c>
      <c r="B174" s="6">
        <v>45644</v>
      </c>
      <c r="C174" t="s">
        <v>189</v>
      </c>
      <c r="D174" t="s">
        <v>74</v>
      </c>
      <c r="E174">
        <v>187710</v>
      </c>
      <c r="F174">
        <v>0</v>
      </c>
    </row>
    <row r="175" spans="1:6" x14ac:dyDescent="0.25">
      <c r="A175" t="s">
        <v>3</v>
      </c>
      <c r="B175" s="6">
        <v>45644</v>
      </c>
      <c r="C175" t="s">
        <v>189</v>
      </c>
      <c r="D175" t="s">
        <v>74</v>
      </c>
      <c r="E175">
        <v>300400</v>
      </c>
      <c r="F175">
        <v>0</v>
      </c>
    </row>
    <row r="176" spans="1:6" x14ac:dyDescent="0.25">
      <c r="A176" t="s">
        <v>3</v>
      </c>
      <c r="B176" s="6">
        <v>45644</v>
      </c>
      <c r="C176" t="s">
        <v>189</v>
      </c>
      <c r="D176" t="s">
        <v>74</v>
      </c>
      <c r="E176">
        <v>315532</v>
      </c>
      <c r="F176">
        <v>0</v>
      </c>
    </row>
    <row r="177" spans="1:6" x14ac:dyDescent="0.25">
      <c r="A177" t="s">
        <v>3</v>
      </c>
      <c r="B177" s="6">
        <v>45642</v>
      </c>
      <c r="C177" t="s">
        <v>188</v>
      </c>
      <c r="D177" t="s">
        <v>8</v>
      </c>
      <c r="E177">
        <v>1754</v>
      </c>
      <c r="F177">
        <v>0</v>
      </c>
    </row>
    <row r="178" spans="1:6" x14ac:dyDescent="0.25">
      <c r="A178" t="s">
        <v>3</v>
      </c>
      <c r="B178" s="6">
        <v>45642</v>
      </c>
      <c r="C178" t="s">
        <v>188</v>
      </c>
      <c r="D178" t="s">
        <v>8</v>
      </c>
      <c r="E178">
        <v>1841</v>
      </c>
      <c r="F178">
        <v>0</v>
      </c>
    </row>
    <row r="179" spans="1:6" x14ac:dyDescent="0.25">
      <c r="A179" t="s">
        <v>3</v>
      </c>
      <c r="B179" s="6">
        <v>45642</v>
      </c>
      <c r="C179" t="s">
        <v>188</v>
      </c>
      <c r="D179" t="s">
        <v>8</v>
      </c>
      <c r="E179">
        <v>1244</v>
      </c>
      <c r="F179">
        <v>0</v>
      </c>
    </row>
    <row r="180" spans="1:6" x14ac:dyDescent="0.25">
      <c r="A180" t="s">
        <v>3</v>
      </c>
      <c r="B180" s="6">
        <v>45642</v>
      </c>
      <c r="C180" t="s">
        <v>185</v>
      </c>
      <c r="D180" t="s">
        <v>8</v>
      </c>
      <c r="E180">
        <v>373167</v>
      </c>
      <c r="F180">
        <v>0</v>
      </c>
    </row>
    <row r="181" spans="1:6" x14ac:dyDescent="0.25">
      <c r="A181" t="s">
        <v>3</v>
      </c>
      <c r="B181" s="6">
        <v>45642</v>
      </c>
      <c r="C181" t="s">
        <v>187</v>
      </c>
      <c r="D181" t="s">
        <v>8</v>
      </c>
      <c r="E181">
        <v>1754</v>
      </c>
      <c r="F181">
        <v>0</v>
      </c>
    </row>
    <row r="182" spans="1:6" x14ac:dyDescent="0.25">
      <c r="A182" t="s">
        <v>3</v>
      </c>
      <c r="B182" s="6">
        <v>45642</v>
      </c>
      <c r="C182" t="s">
        <v>187</v>
      </c>
      <c r="D182" t="s">
        <v>8</v>
      </c>
      <c r="E182">
        <v>1841</v>
      </c>
      <c r="F182">
        <v>0</v>
      </c>
    </row>
    <row r="183" spans="1:6" x14ac:dyDescent="0.25">
      <c r="A183" t="s">
        <v>3</v>
      </c>
      <c r="B183" s="6">
        <v>45642</v>
      </c>
      <c r="C183" t="s">
        <v>187</v>
      </c>
      <c r="D183" t="s">
        <v>8</v>
      </c>
      <c r="E183">
        <v>1244</v>
      </c>
      <c r="F183">
        <v>0</v>
      </c>
    </row>
    <row r="184" spans="1:6" x14ac:dyDescent="0.25">
      <c r="A184" t="s">
        <v>3</v>
      </c>
      <c r="B184" s="6">
        <v>45642</v>
      </c>
      <c r="C184" t="s">
        <v>183</v>
      </c>
      <c r="D184" t="s">
        <v>8</v>
      </c>
      <c r="E184">
        <v>70762</v>
      </c>
      <c r="F184">
        <v>0</v>
      </c>
    </row>
    <row r="185" spans="1:6" x14ac:dyDescent="0.25">
      <c r="A185" t="s">
        <v>3</v>
      </c>
      <c r="B185" s="6">
        <v>45642</v>
      </c>
      <c r="C185" t="s">
        <v>183</v>
      </c>
      <c r="D185" t="s">
        <v>8</v>
      </c>
      <c r="E185">
        <v>85339</v>
      </c>
      <c r="F185">
        <v>0</v>
      </c>
    </row>
    <row r="186" spans="1:6" x14ac:dyDescent="0.25">
      <c r="A186" t="s">
        <v>3</v>
      </c>
      <c r="B186" s="6">
        <v>45642</v>
      </c>
      <c r="C186" t="s">
        <v>183</v>
      </c>
      <c r="D186" t="s">
        <v>8</v>
      </c>
      <c r="E186">
        <v>10335</v>
      </c>
      <c r="F186">
        <v>0</v>
      </c>
    </row>
    <row r="187" spans="1:6" x14ac:dyDescent="0.25">
      <c r="A187" t="s">
        <v>3</v>
      </c>
      <c r="B187" s="6">
        <v>45642</v>
      </c>
      <c r="C187" t="s">
        <v>189</v>
      </c>
      <c r="D187" t="s">
        <v>8</v>
      </c>
      <c r="E187">
        <v>1754</v>
      </c>
      <c r="F187">
        <v>0</v>
      </c>
    </row>
    <row r="188" spans="1:6" x14ac:dyDescent="0.25">
      <c r="A188" t="s">
        <v>3</v>
      </c>
      <c r="B188" s="6">
        <v>45642</v>
      </c>
      <c r="C188" t="s">
        <v>189</v>
      </c>
      <c r="D188" t="s">
        <v>8</v>
      </c>
      <c r="E188">
        <v>1841</v>
      </c>
      <c r="F188">
        <v>0</v>
      </c>
    </row>
    <row r="189" spans="1:6" x14ac:dyDescent="0.25">
      <c r="A189" t="s">
        <v>3</v>
      </c>
      <c r="B189" s="6">
        <v>45642</v>
      </c>
      <c r="C189" t="s">
        <v>189</v>
      </c>
      <c r="D189" t="s">
        <v>8</v>
      </c>
      <c r="E189">
        <v>1244</v>
      </c>
      <c r="F189">
        <v>0</v>
      </c>
    </row>
    <row r="190" spans="1:6" x14ac:dyDescent="0.25">
      <c r="A190" t="s">
        <v>3</v>
      </c>
      <c r="B190" s="6">
        <v>45642</v>
      </c>
      <c r="C190" t="s">
        <v>179</v>
      </c>
      <c r="D190" t="s">
        <v>8</v>
      </c>
      <c r="E190">
        <v>85339</v>
      </c>
      <c r="F190">
        <v>0</v>
      </c>
    </row>
    <row r="191" spans="1:6" x14ac:dyDescent="0.25">
      <c r="A191" t="s">
        <v>3</v>
      </c>
      <c r="B191" s="6">
        <v>45642</v>
      </c>
      <c r="C191" t="s">
        <v>179</v>
      </c>
      <c r="D191" t="s">
        <v>8</v>
      </c>
      <c r="E191">
        <v>70762</v>
      </c>
      <c r="F191">
        <v>0</v>
      </c>
    </row>
    <row r="192" spans="1:6" x14ac:dyDescent="0.25">
      <c r="A192" t="s">
        <v>3</v>
      </c>
      <c r="B192" s="6">
        <v>45642</v>
      </c>
      <c r="C192" t="s">
        <v>179</v>
      </c>
      <c r="D192" t="s">
        <v>8</v>
      </c>
      <c r="E192">
        <v>10335</v>
      </c>
      <c r="F192">
        <v>0</v>
      </c>
    </row>
    <row r="193" spans="1:6" x14ac:dyDescent="0.25">
      <c r="A193" t="s">
        <v>3</v>
      </c>
      <c r="B193" s="6">
        <v>45642</v>
      </c>
      <c r="C193" t="s">
        <v>190</v>
      </c>
      <c r="D193" t="s">
        <v>8</v>
      </c>
      <c r="E193">
        <v>2506</v>
      </c>
      <c r="F193">
        <v>0</v>
      </c>
    </row>
    <row r="194" spans="1:6" x14ac:dyDescent="0.25">
      <c r="A194" t="s">
        <v>3</v>
      </c>
      <c r="B194" s="6">
        <v>45642</v>
      </c>
      <c r="C194" t="s">
        <v>190</v>
      </c>
      <c r="D194" t="s">
        <v>8</v>
      </c>
      <c r="E194">
        <v>2630</v>
      </c>
      <c r="F194">
        <v>0</v>
      </c>
    </row>
    <row r="195" spans="1:6" x14ac:dyDescent="0.25">
      <c r="A195" t="s">
        <v>3</v>
      </c>
      <c r="B195" s="6">
        <v>45642</v>
      </c>
      <c r="C195" t="s">
        <v>190</v>
      </c>
      <c r="D195" t="s">
        <v>8</v>
      </c>
      <c r="E195">
        <v>1766</v>
      </c>
      <c r="F195">
        <v>0</v>
      </c>
    </row>
    <row r="196" spans="1:6" x14ac:dyDescent="0.25">
      <c r="A196" t="s">
        <v>3</v>
      </c>
      <c r="B196" s="6">
        <v>45642</v>
      </c>
      <c r="C196" t="s">
        <v>190</v>
      </c>
      <c r="D196" t="s">
        <v>8</v>
      </c>
      <c r="E196">
        <v>602</v>
      </c>
      <c r="F196">
        <v>0</v>
      </c>
    </row>
    <row r="197" spans="1:6" x14ac:dyDescent="0.25">
      <c r="A197" t="s">
        <v>3</v>
      </c>
      <c r="B197" s="6">
        <v>45642</v>
      </c>
      <c r="C197" t="s">
        <v>191</v>
      </c>
      <c r="D197" t="s">
        <v>8</v>
      </c>
      <c r="E197">
        <v>1244</v>
      </c>
      <c r="F197">
        <v>0</v>
      </c>
    </row>
    <row r="198" spans="1:6" x14ac:dyDescent="0.25">
      <c r="A198" t="s">
        <v>3</v>
      </c>
      <c r="B198" s="6">
        <v>45642</v>
      </c>
      <c r="C198" t="s">
        <v>191</v>
      </c>
      <c r="D198" t="s">
        <v>8</v>
      </c>
      <c r="E198">
        <v>1841</v>
      </c>
      <c r="F198">
        <v>0</v>
      </c>
    </row>
    <row r="199" spans="1:6" x14ac:dyDescent="0.25">
      <c r="A199" t="s">
        <v>3</v>
      </c>
      <c r="B199" s="6">
        <v>45642</v>
      </c>
      <c r="C199" t="s">
        <v>191</v>
      </c>
      <c r="D199" t="s">
        <v>8</v>
      </c>
      <c r="E199">
        <v>1754</v>
      </c>
      <c r="F199">
        <v>0</v>
      </c>
    </row>
    <row r="200" spans="1:6" x14ac:dyDescent="0.25">
      <c r="A200" t="s">
        <v>3</v>
      </c>
      <c r="B200" s="6">
        <v>45642</v>
      </c>
      <c r="C200" t="s">
        <v>184</v>
      </c>
      <c r="D200" t="s">
        <v>8</v>
      </c>
      <c r="E200">
        <v>109044</v>
      </c>
      <c r="F200">
        <v>0</v>
      </c>
    </row>
    <row r="201" spans="1:6" x14ac:dyDescent="0.25">
      <c r="A201" t="s">
        <v>3</v>
      </c>
      <c r="B201" s="6">
        <v>45642</v>
      </c>
      <c r="C201" t="s">
        <v>184</v>
      </c>
      <c r="D201" t="s">
        <v>8</v>
      </c>
      <c r="E201">
        <v>90417</v>
      </c>
      <c r="F201">
        <v>0</v>
      </c>
    </row>
    <row r="202" spans="1:6" x14ac:dyDescent="0.25">
      <c r="A202" t="s">
        <v>3</v>
      </c>
      <c r="B202" s="6">
        <v>45642</v>
      </c>
      <c r="C202" t="s">
        <v>184</v>
      </c>
      <c r="D202" t="s">
        <v>8</v>
      </c>
      <c r="E202">
        <v>13204</v>
      </c>
      <c r="F202">
        <v>0</v>
      </c>
    </row>
    <row r="203" spans="1:6" x14ac:dyDescent="0.25">
      <c r="A203" t="s">
        <v>3</v>
      </c>
      <c r="B203" s="6">
        <v>45642</v>
      </c>
      <c r="C203" t="s">
        <v>182</v>
      </c>
      <c r="D203" t="s">
        <v>8</v>
      </c>
      <c r="E203">
        <v>24376</v>
      </c>
      <c r="F203">
        <v>0</v>
      </c>
    </row>
    <row r="204" spans="1:6" x14ac:dyDescent="0.25">
      <c r="A204" t="s">
        <v>3</v>
      </c>
      <c r="B204" s="6">
        <v>45642</v>
      </c>
      <c r="C204" t="s">
        <v>182</v>
      </c>
      <c r="D204" t="s">
        <v>8</v>
      </c>
      <c r="E204">
        <v>8292</v>
      </c>
      <c r="F204">
        <v>0</v>
      </c>
    </row>
    <row r="205" spans="1:6" x14ac:dyDescent="0.25">
      <c r="A205" t="s">
        <v>3</v>
      </c>
      <c r="B205" s="6">
        <v>45642</v>
      </c>
      <c r="C205" t="s">
        <v>182</v>
      </c>
      <c r="D205" t="s">
        <v>180</v>
      </c>
      <c r="E205">
        <v>20681</v>
      </c>
      <c r="F205">
        <v>200.32</v>
      </c>
    </row>
    <row r="206" spans="1:6" x14ac:dyDescent="0.25">
      <c r="A206" t="s">
        <v>3</v>
      </c>
      <c r="B206" s="6">
        <v>45642</v>
      </c>
      <c r="C206" t="s">
        <v>182</v>
      </c>
      <c r="D206" t="s">
        <v>180</v>
      </c>
      <c r="E206">
        <v>20881</v>
      </c>
      <c r="F206">
        <v>199.61699999999999</v>
      </c>
    </row>
    <row r="207" spans="1:6" x14ac:dyDescent="0.25">
      <c r="A207" t="s">
        <v>3</v>
      </c>
      <c r="B207" s="6">
        <v>45642</v>
      </c>
      <c r="C207" t="s">
        <v>182</v>
      </c>
      <c r="D207" t="s">
        <v>180</v>
      </c>
      <c r="E207">
        <v>21780</v>
      </c>
      <c r="F207">
        <v>198.42410000000001</v>
      </c>
    </row>
    <row r="208" spans="1:6" x14ac:dyDescent="0.25">
      <c r="A208" t="s">
        <v>3</v>
      </c>
      <c r="B208" s="6">
        <v>45642</v>
      </c>
      <c r="C208" t="s">
        <v>182</v>
      </c>
      <c r="D208" t="s">
        <v>180</v>
      </c>
      <c r="E208">
        <v>22321</v>
      </c>
      <c r="F208">
        <v>195.83670000000001</v>
      </c>
    </row>
    <row r="209" spans="1:6" x14ac:dyDescent="0.25">
      <c r="A209" t="s">
        <v>3</v>
      </c>
      <c r="B209" s="6">
        <v>45642</v>
      </c>
      <c r="C209" t="s">
        <v>182</v>
      </c>
      <c r="D209" t="s">
        <v>180</v>
      </c>
      <c r="E209">
        <v>22921</v>
      </c>
      <c r="F209">
        <v>194.4118</v>
      </c>
    </row>
    <row r="210" spans="1:6" x14ac:dyDescent="0.25">
      <c r="A210" t="s">
        <v>3</v>
      </c>
      <c r="B210" s="6">
        <v>45642</v>
      </c>
      <c r="C210" t="s">
        <v>186</v>
      </c>
      <c r="D210" t="s">
        <v>8</v>
      </c>
      <c r="E210">
        <v>1754</v>
      </c>
      <c r="F210">
        <v>0</v>
      </c>
    </row>
    <row r="211" spans="1:6" x14ac:dyDescent="0.25">
      <c r="A211" t="s">
        <v>3</v>
      </c>
      <c r="B211" s="6">
        <v>45642</v>
      </c>
      <c r="C211" t="s">
        <v>186</v>
      </c>
      <c r="D211" t="s">
        <v>8</v>
      </c>
      <c r="E211">
        <v>1244</v>
      </c>
      <c r="F211">
        <v>0</v>
      </c>
    </row>
    <row r="212" spans="1:6" x14ac:dyDescent="0.25">
      <c r="A212" t="s">
        <v>3</v>
      </c>
      <c r="B212" s="6">
        <v>45642</v>
      </c>
      <c r="C212" t="s">
        <v>181</v>
      </c>
      <c r="D212" t="s">
        <v>8</v>
      </c>
      <c r="E212">
        <v>33006</v>
      </c>
      <c r="F212">
        <v>0</v>
      </c>
    </row>
    <row r="213" spans="1:6" x14ac:dyDescent="0.25">
      <c r="A213" t="s">
        <v>3</v>
      </c>
      <c r="B213" s="6">
        <v>45642</v>
      </c>
      <c r="C213" t="s">
        <v>181</v>
      </c>
      <c r="D213" t="s">
        <v>8</v>
      </c>
      <c r="E213">
        <v>93517</v>
      </c>
      <c r="F213">
        <v>0</v>
      </c>
    </row>
    <row r="214" spans="1:6" x14ac:dyDescent="0.25">
      <c r="A214" t="s">
        <v>3</v>
      </c>
      <c r="B214" s="6">
        <v>45642</v>
      </c>
      <c r="C214" t="s">
        <v>181</v>
      </c>
      <c r="D214" t="s">
        <v>8</v>
      </c>
      <c r="E214">
        <v>36032</v>
      </c>
      <c r="F214">
        <v>0</v>
      </c>
    </row>
    <row r="215" spans="1:6" x14ac:dyDescent="0.25">
      <c r="A215" t="s">
        <v>3</v>
      </c>
      <c r="B215" s="6">
        <v>45642</v>
      </c>
      <c r="C215" t="s">
        <v>192</v>
      </c>
      <c r="D215" t="s">
        <v>8</v>
      </c>
      <c r="E215">
        <v>1754</v>
      </c>
      <c r="F215">
        <v>0</v>
      </c>
    </row>
    <row r="216" spans="1:6" x14ac:dyDescent="0.25">
      <c r="A216" t="s">
        <v>3</v>
      </c>
      <c r="B216" s="6">
        <v>45642</v>
      </c>
      <c r="C216" t="s">
        <v>192</v>
      </c>
      <c r="D216" t="s">
        <v>8</v>
      </c>
      <c r="E216">
        <v>1841</v>
      </c>
      <c r="F216">
        <v>0</v>
      </c>
    </row>
    <row r="217" spans="1:6" x14ac:dyDescent="0.25">
      <c r="A217" t="s">
        <v>3</v>
      </c>
      <c r="B217" s="6">
        <v>45642</v>
      </c>
      <c r="C217" t="s">
        <v>192</v>
      </c>
      <c r="D217" t="s">
        <v>8</v>
      </c>
      <c r="E217">
        <v>3689</v>
      </c>
      <c r="F217">
        <v>0</v>
      </c>
    </row>
    <row r="218" spans="1:6" x14ac:dyDescent="0.25">
      <c r="A218" t="s">
        <v>3</v>
      </c>
      <c r="B218" s="6">
        <v>45638</v>
      </c>
      <c r="C218" t="s">
        <v>190</v>
      </c>
      <c r="D218" t="s">
        <v>180</v>
      </c>
      <c r="E218">
        <v>23324</v>
      </c>
      <c r="F218">
        <v>195.0291</v>
      </c>
    </row>
    <row r="219" spans="1:6" x14ac:dyDescent="0.25">
      <c r="A219" t="s">
        <v>3</v>
      </c>
      <c r="B219" s="6">
        <v>45638</v>
      </c>
      <c r="C219" t="s">
        <v>190</v>
      </c>
      <c r="D219" t="s">
        <v>180</v>
      </c>
      <c r="E219">
        <v>23427</v>
      </c>
      <c r="F219">
        <v>194.45689999999999</v>
      </c>
    </row>
    <row r="220" spans="1:6" x14ac:dyDescent="0.25">
      <c r="A220" t="s">
        <v>3</v>
      </c>
      <c r="B220" s="6">
        <v>45638</v>
      </c>
      <c r="C220" t="s">
        <v>190</v>
      </c>
      <c r="D220" t="s">
        <v>180</v>
      </c>
      <c r="E220">
        <v>24417</v>
      </c>
      <c r="F220">
        <v>193.59960000000001</v>
      </c>
    </row>
    <row r="221" spans="1:6" x14ac:dyDescent="0.25">
      <c r="A221" t="s">
        <v>3</v>
      </c>
      <c r="B221" s="6">
        <v>45638</v>
      </c>
      <c r="C221" t="s">
        <v>190</v>
      </c>
      <c r="D221" t="s">
        <v>180</v>
      </c>
      <c r="E221">
        <v>24749</v>
      </c>
      <c r="F221">
        <v>192.80500000000001</v>
      </c>
    </row>
    <row r="222" spans="1:6" x14ac:dyDescent="0.25">
      <c r="A222" t="s">
        <v>3</v>
      </c>
      <c r="B222" s="6">
        <v>45636</v>
      </c>
      <c r="C222" t="s">
        <v>189</v>
      </c>
      <c r="D222" t="s">
        <v>180</v>
      </c>
      <c r="E222">
        <v>267700</v>
      </c>
      <c r="F222">
        <v>185.0087</v>
      </c>
    </row>
    <row r="223" spans="1:6" x14ac:dyDescent="0.25">
      <c r="A223" t="s">
        <v>3</v>
      </c>
      <c r="B223" s="6">
        <v>45636</v>
      </c>
      <c r="C223" t="s">
        <v>189</v>
      </c>
      <c r="D223" t="s">
        <v>180</v>
      </c>
      <c r="E223">
        <v>282832</v>
      </c>
      <c r="F223">
        <v>185.02459999999999</v>
      </c>
    </row>
    <row r="224" spans="1:6" x14ac:dyDescent="0.25">
      <c r="A224" t="s">
        <v>3</v>
      </c>
      <c r="B224" s="6">
        <v>45628</v>
      </c>
      <c r="C224" t="s">
        <v>186</v>
      </c>
      <c r="D224" t="s">
        <v>8</v>
      </c>
      <c r="E224">
        <v>1841</v>
      </c>
      <c r="F224">
        <v>0</v>
      </c>
    </row>
    <row r="225" spans="1:6" x14ac:dyDescent="0.25">
      <c r="A225" t="s">
        <v>3</v>
      </c>
      <c r="B225" s="6">
        <v>45628</v>
      </c>
      <c r="C225" t="s">
        <v>185</v>
      </c>
      <c r="D225" t="s">
        <v>74</v>
      </c>
      <c r="E225">
        <v>811275</v>
      </c>
      <c r="F225">
        <v>0</v>
      </c>
    </row>
    <row r="226" spans="1:6" x14ac:dyDescent="0.25">
      <c r="A226" t="s">
        <v>3</v>
      </c>
      <c r="B226" s="6">
        <v>45628</v>
      </c>
      <c r="C226" t="s">
        <v>185</v>
      </c>
      <c r="D226" t="s">
        <v>74</v>
      </c>
      <c r="E226">
        <v>2007374</v>
      </c>
      <c r="F226">
        <v>0</v>
      </c>
    </row>
    <row r="227" spans="1:6" x14ac:dyDescent="0.25">
      <c r="A227" t="s">
        <v>3</v>
      </c>
      <c r="B227" s="6">
        <v>45628</v>
      </c>
      <c r="C227" t="s">
        <v>182</v>
      </c>
      <c r="D227" t="s">
        <v>180</v>
      </c>
      <c r="E227">
        <v>23515</v>
      </c>
      <c r="F227">
        <v>170.41</v>
      </c>
    </row>
    <row r="228" spans="1:6" x14ac:dyDescent="0.25">
      <c r="A228" t="s">
        <v>3</v>
      </c>
      <c r="B228" s="6">
        <v>45625</v>
      </c>
      <c r="C228" t="s">
        <v>186</v>
      </c>
      <c r="D228" t="s">
        <v>180</v>
      </c>
      <c r="E228">
        <v>16599</v>
      </c>
      <c r="F228">
        <v>169.98</v>
      </c>
    </row>
    <row r="229" spans="1:6" x14ac:dyDescent="0.25">
      <c r="A229" t="s">
        <v>3</v>
      </c>
      <c r="B229" s="6">
        <v>45623</v>
      </c>
      <c r="C229" t="s">
        <v>183</v>
      </c>
      <c r="D229" t="s">
        <v>74</v>
      </c>
      <c r="E229">
        <v>175000</v>
      </c>
      <c r="F229">
        <v>0</v>
      </c>
    </row>
    <row r="230" spans="1:6" x14ac:dyDescent="0.25">
      <c r="A230" t="s">
        <v>3</v>
      </c>
      <c r="B230" s="6">
        <v>45623</v>
      </c>
      <c r="C230" t="s">
        <v>183</v>
      </c>
      <c r="D230" t="s">
        <v>74</v>
      </c>
      <c r="E230">
        <v>1432463</v>
      </c>
      <c r="F230">
        <v>0</v>
      </c>
    </row>
    <row r="231" spans="1:6" x14ac:dyDescent="0.25">
      <c r="A231" t="s">
        <v>3</v>
      </c>
      <c r="B231" s="6">
        <v>45622</v>
      </c>
      <c r="C231" t="s">
        <v>193</v>
      </c>
      <c r="D231" t="s">
        <v>10</v>
      </c>
      <c r="E231">
        <v>362421228</v>
      </c>
      <c r="F231">
        <v>0</v>
      </c>
    </row>
    <row r="232" spans="1:6" x14ac:dyDescent="0.25">
      <c r="A232" t="s">
        <v>3</v>
      </c>
      <c r="B232" s="6">
        <v>45622</v>
      </c>
      <c r="C232" t="s">
        <v>193</v>
      </c>
      <c r="D232" t="s">
        <v>74</v>
      </c>
      <c r="E232">
        <v>363622608</v>
      </c>
      <c r="F232">
        <v>0</v>
      </c>
    </row>
    <row r="233" spans="1:6" x14ac:dyDescent="0.25">
      <c r="A233" t="s">
        <v>3</v>
      </c>
      <c r="B233" s="6">
        <v>45622</v>
      </c>
      <c r="C233" t="s">
        <v>193</v>
      </c>
      <c r="D233" t="s">
        <v>74</v>
      </c>
      <c r="E233">
        <v>0</v>
      </c>
      <c r="F233">
        <v>0</v>
      </c>
    </row>
    <row r="234" spans="1:6" x14ac:dyDescent="0.25">
      <c r="A234" t="s">
        <v>3</v>
      </c>
      <c r="B234" s="6">
        <v>45622</v>
      </c>
      <c r="C234" t="s">
        <v>193</v>
      </c>
      <c r="D234" t="s">
        <v>10</v>
      </c>
      <c r="E234">
        <v>322800</v>
      </c>
      <c r="F234">
        <v>0</v>
      </c>
    </row>
    <row r="235" spans="1:6" x14ac:dyDescent="0.25">
      <c r="A235" t="s">
        <v>3</v>
      </c>
      <c r="B235" s="6">
        <v>45621</v>
      </c>
      <c r="C235" t="s">
        <v>182</v>
      </c>
      <c r="D235" t="s">
        <v>10</v>
      </c>
      <c r="E235">
        <v>8284</v>
      </c>
      <c r="F235">
        <v>0</v>
      </c>
    </row>
    <row r="236" spans="1:6" x14ac:dyDescent="0.25">
      <c r="A236" t="s">
        <v>3</v>
      </c>
      <c r="B236" s="6">
        <v>45621</v>
      </c>
      <c r="C236" t="s">
        <v>182</v>
      </c>
      <c r="D236" t="s">
        <v>73</v>
      </c>
      <c r="E236">
        <v>9652</v>
      </c>
      <c r="F236">
        <v>166.57</v>
      </c>
    </row>
    <row r="237" spans="1:6" x14ac:dyDescent="0.25">
      <c r="A237" t="s">
        <v>3</v>
      </c>
      <c r="B237" s="6">
        <v>45621</v>
      </c>
      <c r="C237" t="s">
        <v>182</v>
      </c>
      <c r="D237" t="s">
        <v>10</v>
      </c>
      <c r="E237">
        <v>24882</v>
      </c>
      <c r="F237">
        <v>0</v>
      </c>
    </row>
    <row r="238" spans="1:6" x14ac:dyDescent="0.25">
      <c r="A238" t="s">
        <v>3</v>
      </c>
      <c r="B238" s="6">
        <v>45616</v>
      </c>
      <c r="C238" t="s">
        <v>185</v>
      </c>
      <c r="D238" t="s">
        <v>180</v>
      </c>
      <c r="E238">
        <v>2061806</v>
      </c>
      <c r="F238">
        <v>178.68109999999999</v>
      </c>
    </row>
    <row r="239" spans="1:6" x14ac:dyDescent="0.25">
      <c r="A239" t="s">
        <v>3</v>
      </c>
      <c r="B239" s="6">
        <v>45616</v>
      </c>
      <c r="C239" t="s">
        <v>185</v>
      </c>
      <c r="D239" t="s">
        <v>180</v>
      </c>
      <c r="E239">
        <v>2062523</v>
      </c>
      <c r="F239">
        <v>177.8922</v>
      </c>
    </row>
    <row r="240" spans="1:6" x14ac:dyDescent="0.25">
      <c r="A240" t="s">
        <v>3</v>
      </c>
      <c r="B240" s="6">
        <v>45616</v>
      </c>
      <c r="C240" t="s">
        <v>185</v>
      </c>
      <c r="D240" t="s">
        <v>180</v>
      </c>
      <c r="E240">
        <v>2064643</v>
      </c>
      <c r="F240">
        <v>176.87389999999999</v>
      </c>
    </row>
    <row r="241" spans="1:6" x14ac:dyDescent="0.25">
      <c r="A241" t="s">
        <v>3</v>
      </c>
      <c r="B241" s="6">
        <v>45616</v>
      </c>
      <c r="C241" t="s">
        <v>185</v>
      </c>
      <c r="D241" t="s">
        <v>180</v>
      </c>
      <c r="E241">
        <v>2073894</v>
      </c>
      <c r="F241">
        <v>176.096</v>
      </c>
    </row>
    <row r="242" spans="1:6" x14ac:dyDescent="0.25">
      <c r="A242" t="s">
        <v>3</v>
      </c>
      <c r="B242" s="6">
        <v>45611</v>
      </c>
      <c r="C242" t="s">
        <v>182</v>
      </c>
      <c r="D242" t="s">
        <v>180</v>
      </c>
      <c r="E242">
        <v>23514</v>
      </c>
      <c r="F242">
        <v>175.86</v>
      </c>
    </row>
    <row r="243" spans="1:6" x14ac:dyDescent="0.25">
      <c r="A243" t="s">
        <v>3</v>
      </c>
      <c r="B243" s="6">
        <v>45608</v>
      </c>
      <c r="C243" t="s">
        <v>190</v>
      </c>
      <c r="D243" t="s">
        <v>180</v>
      </c>
      <c r="E243">
        <v>24824</v>
      </c>
      <c r="F243">
        <v>182.03020000000001</v>
      </c>
    </row>
    <row r="244" spans="1:6" x14ac:dyDescent="0.25">
      <c r="A244" t="s">
        <v>3</v>
      </c>
      <c r="B244" s="6">
        <v>45608</v>
      </c>
      <c r="C244" t="s">
        <v>190</v>
      </c>
      <c r="D244" t="s">
        <v>180</v>
      </c>
      <c r="E244">
        <v>24918</v>
      </c>
      <c r="F244">
        <v>181.4265</v>
      </c>
    </row>
    <row r="245" spans="1:6" x14ac:dyDescent="0.25">
      <c r="A245" t="s">
        <v>3</v>
      </c>
      <c r="B245" s="6">
        <v>45608</v>
      </c>
      <c r="C245" t="s">
        <v>190</v>
      </c>
      <c r="D245" t="s">
        <v>180</v>
      </c>
      <c r="E245">
        <v>25440</v>
      </c>
      <c r="F245">
        <v>180.59049999999999</v>
      </c>
    </row>
    <row r="246" spans="1:6" x14ac:dyDescent="0.25">
      <c r="A246" t="s">
        <v>3</v>
      </c>
      <c r="B246" s="6">
        <v>45608</v>
      </c>
      <c r="C246" t="s">
        <v>190</v>
      </c>
      <c r="D246" t="s">
        <v>180</v>
      </c>
      <c r="E246">
        <v>25905</v>
      </c>
      <c r="F246">
        <v>179.79650000000001</v>
      </c>
    </row>
    <row r="247" spans="1:6" x14ac:dyDescent="0.25">
      <c r="A247" t="s">
        <v>3</v>
      </c>
      <c r="B247" s="6">
        <v>45603</v>
      </c>
      <c r="C247" t="s">
        <v>189</v>
      </c>
      <c r="D247" t="s">
        <v>180</v>
      </c>
      <c r="E247">
        <v>303066</v>
      </c>
      <c r="F247">
        <v>177.41</v>
      </c>
    </row>
    <row r="248" spans="1:6" x14ac:dyDescent="0.25">
      <c r="A248" t="s">
        <v>3</v>
      </c>
      <c r="B248" s="6">
        <v>45603</v>
      </c>
      <c r="C248" t="s">
        <v>189</v>
      </c>
      <c r="D248" t="s">
        <v>180</v>
      </c>
      <c r="E248">
        <v>319966</v>
      </c>
      <c r="F248">
        <v>177.41</v>
      </c>
    </row>
    <row r="249" spans="1:6" x14ac:dyDescent="0.25">
      <c r="A249" t="s">
        <v>3</v>
      </c>
      <c r="B249" s="6">
        <v>45602</v>
      </c>
      <c r="C249" t="s">
        <v>185</v>
      </c>
      <c r="D249" t="s">
        <v>180</v>
      </c>
      <c r="E249">
        <v>2084306</v>
      </c>
      <c r="F249">
        <v>178.37</v>
      </c>
    </row>
    <row r="250" spans="1:6" x14ac:dyDescent="0.25">
      <c r="A250" t="s">
        <v>3</v>
      </c>
      <c r="B250" s="6">
        <v>45602</v>
      </c>
      <c r="C250" t="s">
        <v>185</v>
      </c>
      <c r="D250" t="s">
        <v>180</v>
      </c>
      <c r="E250">
        <v>2086106</v>
      </c>
      <c r="F250">
        <v>177.8707</v>
      </c>
    </row>
    <row r="251" spans="1:6" x14ac:dyDescent="0.25">
      <c r="A251" t="s">
        <v>3</v>
      </c>
      <c r="B251" s="6">
        <v>45602</v>
      </c>
      <c r="C251" t="s">
        <v>185</v>
      </c>
      <c r="D251" t="s">
        <v>180</v>
      </c>
      <c r="E251">
        <v>2095519</v>
      </c>
      <c r="F251">
        <v>176.90969999999999</v>
      </c>
    </row>
    <row r="252" spans="1:6" x14ac:dyDescent="0.25">
      <c r="A252" t="s">
        <v>3</v>
      </c>
      <c r="B252" s="6">
        <v>45602</v>
      </c>
      <c r="C252" t="s">
        <v>185</v>
      </c>
      <c r="D252" t="s">
        <v>180</v>
      </c>
      <c r="E252">
        <v>2105106</v>
      </c>
      <c r="F252">
        <v>176.0635</v>
      </c>
    </row>
    <row r="253" spans="1:6" x14ac:dyDescent="0.25">
      <c r="A253" t="s">
        <v>3</v>
      </c>
      <c r="B253" s="6">
        <v>45600</v>
      </c>
      <c r="C253" t="s">
        <v>186</v>
      </c>
      <c r="D253" t="s">
        <v>180</v>
      </c>
      <c r="E253">
        <v>16490</v>
      </c>
      <c r="F253">
        <v>171.06</v>
      </c>
    </row>
    <row r="254" spans="1:6" x14ac:dyDescent="0.25">
      <c r="A254" t="s">
        <v>3</v>
      </c>
      <c r="B254" s="6">
        <v>45597</v>
      </c>
      <c r="C254" t="s">
        <v>182</v>
      </c>
      <c r="D254" t="s">
        <v>180</v>
      </c>
      <c r="E254">
        <v>26349</v>
      </c>
      <c r="F254">
        <v>171.42</v>
      </c>
    </row>
    <row r="255" spans="1:6" x14ac:dyDescent="0.25">
      <c r="A255" t="s">
        <v>3</v>
      </c>
      <c r="B255" s="6">
        <v>45595</v>
      </c>
      <c r="C255" t="s">
        <v>189</v>
      </c>
      <c r="D255" t="s">
        <v>180</v>
      </c>
      <c r="E255">
        <v>312066</v>
      </c>
      <c r="F255">
        <v>180.78</v>
      </c>
    </row>
    <row r="256" spans="1:6" x14ac:dyDescent="0.25">
      <c r="A256" t="s">
        <v>3</v>
      </c>
      <c r="B256" s="6">
        <v>45595</v>
      </c>
      <c r="C256" t="s">
        <v>189</v>
      </c>
      <c r="D256" t="s">
        <v>180</v>
      </c>
      <c r="E256">
        <v>330466</v>
      </c>
      <c r="F256">
        <v>180.78</v>
      </c>
    </row>
    <row r="257" spans="1:6" x14ac:dyDescent="0.25">
      <c r="A257" t="s">
        <v>3</v>
      </c>
      <c r="B257" s="6">
        <v>45590</v>
      </c>
      <c r="C257" t="s">
        <v>182</v>
      </c>
      <c r="D257" t="s">
        <v>73</v>
      </c>
      <c r="E257">
        <v>11046</v>
      </c>
      <c r="F257">
        <v>164.53</v>
      </c>
    </row>
    <row r="258" spans="1:6" x14ac:dyDescent="0.25">
      <c r="A258" t="s">
        <v>3</v>
      </c>
      <c r="B258" s="6">
        <v>45590</v>
      </c>
      <c r="C258" t="s">
        <v>182</v>
      </c>
      <c r="D258" t="s">
        <v>10</v>
      </c>
      <c r="E258">
        <v>12439</v>
      </c>
      <c r="F258">
        <v>0</v>
      </c>
    </row>
    <row r="259" spans="1:6" x14ac:dyDescent="0.25">
      <c r="A259" t="s">
        <v>3</v>
      </c>
      <c r="B259" s="6">
        <v>45590</v>
      </c>
      <c r="C259" t="s">
        <v>182</v>
      </c>
      <c r="D259" t="s">
        <v>10</v>
      </c>
      <c r="E259">
        <v>27716</v>
      </c>
      <c r="F259">
        <v>0</v>
      </c>
    </row>
    <row r="260" spans="1:6" x14ac:dyDescent="0.25">
      <c r="A260" t="s">
        <v>3</v>
      </c>
      <c r="B260" s="6">
        <v>45581</v>
      </c>
      <c r="C260" t="s">
        <v>185</v>
      </c>
      <c r="D260" t="s">
        <v>180</v>
      </c>
      <c r="E260">
        <v>2106806</v>
      </c>
      <c r="F260">
        <v>166.6139</v>
      </c>
    </row>
    <row r="261" spans="1:6" x14ac:dyDescent="0.25">
      <c r="A261" t="s">
        <v>3</v>
      </c>
      <c r="B261" s="6">
        <v>45581</v>
      </c>
      <c r="C261" t="s">
        <v>185</v>
      </c>
      <c r="D261" t="s">
        <v>180</v>
      </c>
      <c r="E261">
        <v>2119202</v>
      </c>
      <c r="F261">
        <v>165.9161</v>
      </c>
    </row>
    <row r="262" spans="1:6" x14ac:dyDescent="0.25">
      <c r="A262" t="s">
        <v>3</v>
      </c>
      <c r="B262" s="6">
        <v>45580</v>
      </c>
      <c r="C262" t="s">
        <v>182</v>
      </c>
      <c r="D262" t="s">
        <v>180</v>
      </c>
      <c r="E262">
        <v>26349</v>
      </c>
      <c r="F262">
        <v>167.23</v>
      </c>
    </row>
    <row r="263" spans="1:6" x14ac:dyDescent="0.25">
      <c r="A263" t="s">
        <v>3</v>
      </c>
      <c r="B263" s="6">
        <v>45579</v>
      </c>
      <c r="C263" t="s">
        <v>190</v>
      </c>
      <c r="D263" t="s">
        <v>180</v>
      </c>
      <c r="E263">
        <v>26324</v>
      </c>
      <c r="F263">
        <v>165</v>
      </c>
    </row>
    <row r="264" spans="1:6" x14ac:dyDescent="0.25">
      <c r="A264" t="s">
        <v>3</v>
      </c>
      <c r="B264" s="6">
        <v>45579</v>
      </c>
      <c r="C264" t="s">
        <v>190</v>
      </c>
      <c r="D264" t="s">
        <v>180</v>
      </c>
      <c r="E264">
        <v>27024</v>
      </c>
      <c r="F264">
        <v>165.26660000000001</v>
      </c>
    </row>
    <row r="265" spans="1:6" x14ac:dyDescent="0.25">
      <c r="A265" t="s">
        <v>3</v>
      </c>
      <c r="B265" s="6">
        <v>45579</v>
      </c>
      <c r="C265" t="s">
        <v>190</v>
      </c>
      <c r="D265" t="s">
        <v>180</v>
      </c>
      <c r="E265">
        <v>27305</v>
      </c>
      <c r="F265">
        <v>164.72630000000001</v>
      </c>
    </row>
    <row r="266" spans="1:6" x14ac:dyDescent="0.25">
      <c r="A266" t="s">
        <v>3</v>
      </c>
      <c r="B266" s="6">
        <v>45579</v>
      </c>
      <c r="C266" t="s">
        <v>190</v>
      </c>
      <c r="D266" t="s">
        <v>180</v>
      </c>
      <c r="E266">
        <v>27823</v>
      </c>
      <c r="F266">
        <v>163.69999999999999</v>
      </c>
    </row>
    <row r="267" spans="1:6" x14ac:dyDescent="0.25">
      <c r="A267" t="s">
        <v>3</v>
      </c>
      <c r="B267" s="6">
        <v>45575</v>
      </c>
      <c r="C267" t="s">
        <v>189</v>
      </c>
      <c r="D267" t="s">
        <v>74</v>
      </c>
      <c r="E267">
        <v>724526</v>
      </c>
      <c r="F267">
        <v>0</v>
      </c>
    </row>
    <row r="268" spans="1:6" x14ac:dyDescent="0.25">
      <c r="A268" t="s">
        <v>3</v>
      </c>
      <c r="B268" s="6">
        <v>45575</v>
      </c>
      <c r="C268" t="s">
        <v>189</v>
      </c>
      <c r="D268" t="s">
        <v>74</v>
      </c>
      <c r="E268">
        <v>319344</v>
      </c>
      <c r="F268">
        <v>0</v>
      </c>
    </row>
    <row r="269" spans="1:6" x14ac:dyDescent="0.25">
      <c r="A269" t="s">
        <v>3</v>
      </c>
      <c r="B269" s="6">
        <v>45575</v>
      </c>
      <c r="C269" t="s">
        <v>189</v>
      </c>
      <c r="D269" t="s">
        <v>74</v>
      </c>
      <c r="E269">
        <v>810936</v>
      </c>
      <c r="F269">
        <v>0</v>
      </c>
    </row>
    <row r="270" spans="1:6" x14ac:dyDescent="0.25">
      <c r="A270" t="s">
        <v>3</v>
      </c>
      <c r="B270" s="6">
        <v>45575</v>
      </c>
      <c r="C270" t="s">
        <v>189</v>
      </c>
      <c r="D270" t="s">
        <v>74</v>
      </c>
      <c r="E270">
        <v>320864</v>
      </c>
      <c r="F270">
        <v>0</v>
      </c>
    </row>
    <row r="271" spans="1:6" x14ac:dyDescent="0.25">
      <c r="A271" t="s">
        <v>3</v>
      </c>
      <c r="B271" s="6">
        <v>45575</v>
      </c>
      <c r="C271" t="s">
        <v>189</v>
      </c>
      <c r="D271" t="s">
        <v>74</v>
      </c>
      <c r="E271">
        <v>321066</v>
      </c>
      <c r="F271">
        <v>0</v>
      </c>
    </row>
    <row r="272" spans="1:6" x14ac:dyDescent="0.25">
      <c r="A272" t="s">
        <v>3</v>
      </c>
      <c r="B272" s="6">
        <v>45575</v>
      </c>
      <c r="C272" t="s">
        <v>189</v>
      </c>
      <c r="D272" t="s">
        <v>74</v>
      </c>
      <c r="E272">
        <v>319344</v>
      </c>
      <c r="F272">
        <v>0</v>
      </c>
    </row>
    <row r="273" spans="1:6" x14ac:dyDescent="0.25">
      <c r="A273" t="s">
        <v>3</v>
      </c>
      <c r="B273" s="6">
        <v>45575</v>
      </c>
      <c r="C273" t="s">
        <v>189</v>
      </c>
      <c r="D273" t="s">
        <v>74</v>
      </c>
      <c r="E273">
        <v>340966</v>
      </c>
      <c r="F273">
        <v>0</v>
      </c>
    </row>
    <row r="274" spans="1:6" x14ac:dyDescent="0.25">
      <c r="A274" t="s">
        <v>3</v>
      </c>
      <c r="B274" s="6">
        <v>45575</v>
      </c>
      <c r="C274" t="s">
        <v>189</v>
      </c>
      <c r="D274" t="s">
        <v>74</v>
      </c>
      <c r="E274">
        <v>320864</v>
      </c>
      <c r="F274">
        <v>0</v>
      </c>
    </row>
    <row r="275" spans="1:6" x14ac:dyDescent="0.25">
      <c r="A275" t="s">
        <v>3</v>
      </c>
      <c r="B275" s="6">
        <v>45567</v>
      </c>
      <c r="C275" t="s">
        <v>185</v>
      </c>
      <c r="D275" t="s">
        <v>180</v>
      </c>
      <c r="E275">
        <v>2129306</v>
      </c>
      <c r="F275">
        <v>168.56</v>
      </c>
    </row>
    <row r="276" spans="1:6" x14ac:dyDescent="0.25">
      <c r="A276" t="s">
        <v>3</v>
      </c>
      <c r="B276" s="6">
        <v>45567</v>
      </c>
      <c r="C276" t="s">
        <v>185</v>
      </c>
      <c r="D276" t="s">
        <v>180</v>
      </c>
      <c r="E276">
        <v>2129906</v>
      </c>
      <c r="F276">
        <v>167.57499999999999</v>
      </c>
    </row>
    <row r="277" spans="1:6" x14ac:dyDescent="0.25">
      <c r="A277" t="s">
        <v>3</v>
      </c>
      <c r="B277" s="6">
        <v>45567</v>
      </c>
      <c r="C277" t="s">
        <v>185</v>
      </c>
      <c r="D277" t="s">
        <v>180</v>
      </c>
      <c r="E277">
        <v>2134739</v>
      </c>
      <c r="F277">
        <v>166.8751</v>
      </c>
    </row>
    <row r="278" spans="1:6" x14ac:dyDescent="0.25">
      <c r="A278" t="s">
        <v>3</v>
      </c>
      <c r="B278" s="6">
        <v>45566</v>
      </c>
      <c r="C278" t="s">
        <v>182</v>
      </c>
      <c r="D278" t="s">
        <v>180</v>
      </c>
      <c r="E278">
        <v>29183</v>
      </c>
      <c r="F278">
        <v>168.84</v>
      </c>
    </row>
    <row r="279" spans="1:6" x14ac:dyDescent="0.25">
      <c r="A279" t="s">
        <v>3</v>
      </c>
      <c r="B279" s="6">
        <v>45565</v>
      </c>
      <c r="C279" t="s">
        <v>179</v>
      </c>
      <c r="D279" t="s">
        <v>74</v>
      </c>
      <c r="E279">
        <v>23498</v>
      </c>
      <c r="F279">
        <v>0</v>
      </c>
    </row>
    <row r="280" spans="1:6" x14ac:dyDescent="0.25">
      <c r="A280" t="s">
        <v>3</v>
      </c>
      <c r="B280" s="6">
        <v>45565</v>
      </c>
      <c r="C280" t="s">
        <v>179</v>
      </c>
      <c r="D280" t="s">
        <v>74</v>
      </c>
      <c r="E280">
        <v>60801</v>
      </c>
      <c r="F280">
        <v>0</v>
      </c>
    </row>
    <row r="281" spans="1:6" x14ac:dyDescent="0.25">
      <c r="A281" t="s">
        <v>3</v>
      </c>
      <c r="B281" s="6">
        <v>45562</v>
      </c>
      <c r="C281" t="s">
        <v>179</v>
      </c>
      <c r="D281" t="s">
        <v>180</v>
      </c>
      <c r="E281">
        <v>43999</v>
      </c>
      <c r="F281">
        <v>165.47399999999999</v>
      </c>
    </row>
    <row r="282" spans="1:6" x14ac:dyDescent="0.25">
      <c r="A282" t="s">
        <v>3</v>
      </c>
      <c r="B282" s="6">
        <v>45560</v>
      </c>
      <c r="C282" t="s">
        <v>183</v>
      </c>
      <c r="D282" t="s">
        <v>73</v>
      </c>
      <c r="E282">
        <v>70690</v>
      </c>
      <c r="F282">
        <v>163.63999999999999</v>
      </c>
    </row>
    <row r="283" spans="1:6" x14ac:dyDescent="0.25">
      <c r="A283" t="s">
        <v>3</v>
      </c>
      <c r="B283" s="6">
        <v>45560</v>
      </c>
      <c r="C283" t="s">
        <v>183</v>
      </c>
      <c r="D283" t="s">
        <v>10</v>
      </c>
      <c r="E283">
        <v>77827</v>
      </c>
      <c r="F283">
        <v>0</v>
      </c>
    </row>
    <row r="284" spans="1:6" x14ac:dyDescent="0.25">
      <c r="A284" t="s">
        <v>3</v>
      </c>
      <c r="B284" s="6">
        <v>45560</v>
      </c>
      <c r="C284" t="s">
        <v>183</v>
      </c>
      <c r="D284" t="s">
        <v>73</v>
      </c>
      <c r="E284">
        <v>10324</v>
      </c>
      <c r="F284">
        <v>163.63999999999999</v>
      </c>
    </row>
    <row r="285" spans="1:6" x14ac:dyDescent="0.25">
      <c r="A285" t="s">
        <v>3</v>
      </c>
      <c r="B285" s="6">
        <v>45560</v>
      </c>
      <c r="C285" t="s">
        <v>183</v>
      </c>
      <c r="D285" t="s">
        <v>10</v>
      </c>
      <c r="E285">
        <v>15536</v>
      </c>
      <c r="F285">
        <v>0</v>
      </c>
    </row>
    <row r="286" spans="1:6" x14ac:dyDescent="0.25">
      <c r="A286" t="s">
        <v>3</v>
      </c>
      <c r="B286" s="6">
        <v>45560</v>
      </c>
      <c r="C286" t="s">
        <v>183</v>
      </c>
      <c r="D286" t="s">
        <v>73</v>
      </c>
      <c r="E286">
        <v>85253</v>
      </c>
      <c r="F286">
        <v>163.63999999999999</v>
      </c>
    </row>
    <row r="287" spans="1:6" x14ac:dyDescent="0.25">
      <c r="A287" t="s">
        <v>3</v>
      </c>
      <c r="B287" s="6">
        <v>45560</v>
      </c>
      <c r="C287" t="s">
        <v>183</v>
      </c>
      <c r="D287" t="s">
        <v>10</v>
      </c>
      <c r="E287">
        <v>90035</v>
      </c>
      <c r="F287">
        <v>0</v>
      </c>
    </row>
    <row r="288" spans="1:6" x14ac:dyDescent="0.25">
      <c r="A288" t="s">
        <v>3</v>
      </c>
      <c r="B288" s="6">
        <v>45560</v>
      </c>
      <c r="C288" t="s">
        <v>183</v>
      </c>
      <c r="D288" t="s">
        <v>10</v>
      </c>
      <c r="E288">
        <v>1607463</v>
      </c>
      <c r="F288">
        <v>0</v>
      </c>
    </row>
    <row r="289" spans="1:6" x14ac:dyDescent="0.25">
      <c r="A289" t="s">
        <v>3</v>
      </c>
      <c r="B289" s="6">
        <v>45560</v>
      </c>
      <c r="C289" t="s">
        <v>194</v>
      </c>
      <c r="D289" t="s">
        <v>10</v>
      </c>
      <c r="E289">
        <v>108934</v>
      </c>
      <c r="F289">
        <v>0</v>
      </c>
    </row>
    <row r="290" spans="1:6" x14ac:dyDescent="0.25">
      <c r="A290" t="s">
        <v>3</v>
      </c>
      <c r="B290" s="6">
        <v>45560</v>
      </c>
      <c r="C290" t="s">
        <v>194</v>
      </c>
      <c r="D290" t="s">
        <v>73</v>
      </c>
      <c r="E290">
        <v>114928</v>
      </c>
      <c r="F290">
        <v>163.63999999999999</v>
      </c>
    </row>
    <row r="291" spans="1:6" x14ac:dyDescent="0.25">
      <c r="A291" t="s">
        <v>3</v>
      </c>
      <c r="B291" s="6">
        <v>45560</v>
      </c>
      <c r="C291" t="s">
        <v>194</v>
      </c>
      <c r="D291" t="s">
        <v>10</v>
      </c>
      <c r="E291">
        <v>90326</v>
      </c>
      <c r="F291">
        <v>0</v>
      </c>
    </row>
    <row r="292" spans="1:6" x14ac:dyDescent="0.25">
      <c r="A292" t="s">
        <v>3</v>
      </c>
      <c r="B292" s="6">
        <v>45560</v>
      </c>
      <c r="C292" t="s">
        <v>194</v>
      </c>
      <c r="D292" t="s">
        <v>73</v>
      </c>
      <c r="E292">
        <v>99272</v>
      </c>
      <c r="F292">
        <v>163.63999999999999</v>
      </c>
    </row>
    <row r="293" spans="1:6" x14ac:dyDescent="0.25">
      <c r="A293" t="s">
        <v>3</v>
      </c>
      <c r="B293" s="6">
        <v>45560</v>
      </c>
      <c r="C293" t="s">
        <v>194</v>
      </c>
      <c r="D293" t="s">
        <v>10</v>
      </c>
      <c r="E293">
        <v>13191</v>
      </c>
      <c r="F293">
        <v>0</v>
      </c>
    </row>
    <row r="294" spans="1:6" x14ac:dyDescent="0.25">
      <c r="A294" t="s">
        <v>3</v>
      </c>
      <c r="B294" s="6">
        <v>45560</v>
      </c>
      <c r="C294" t="s">
        <v>194</v>
      </c>
      <c r="D294" t="s">
        <v>73</v>
      </c>
      <c r="E294">
        <v>19723</v>
      </c>
      <c r="F294">
        <v>163.63999999999999</v>
      </c>
    </row>
    <row r="295" spans="1:6" x14ac:dyDescent="0.25">
      <c r="A295" t="s">
        <v>3</v>
      </c>
      <c r="B295" s="6">
        <v>45560</v>
      </c>
      <c r="C295" t="s">
        <v>194</v>
      </c>
      <c r="D295" t="s">
        <v>10</v>
      </c>
      <c r="E295">
        <v>21481</v>
      </c>
      <c r="F295">
        <v>0</v>
      </c>
    </row>
    <row r="296" spans="1:6" x14ac:dyDescent="0.25">
      <c r="A296" t="s">
        <v>3</v>
      </c>
      <c r="B296" s="6">
        <v>45560</v>
      </c>
      <c r="C296" t="s">
        <v>182</v>
      </c>
      <c r="D296" t="s">
        <v>73</v>
      </c>
      <c r="E296">
        <v>13806</v>
      </c>
      <c r="F296">
        <v>163.63999999999999</v>
      </c>
    </row>
    <row r="297" spans="1:6" x14ac:dyDescent="0.25">
      <c r="A297" t="s">
        <v>3</v>
      </c>
      <c r="B297" s="6">
        <v>45560</v>
      </c>
      <c r="C297" t="s">
        <v>182</v>
      </c>
      <c r="D297" t="s">
        <v>10</v>
      </c>
      <c r="E297">
        <v>15200</v>
      </c>
      <c r="F297">
        <v>0</v>
      </c>
    </row>
    <row r="298" spans="1:6" x14ac:dyDescent="0.25">
      <c r="A298" t="s">
        <v>3</v>
      </c>
      <c r="B298" s="6">
        <v>45560</v>
      </c>
      <c r="C298" t="s">
        <v>182</v>
      </c>
      <c r="D298" t="s">
        <v>10</v>
      </c>
      <c r="E298">
        <v>30550</v>
      </c>
      <c r="F298">
        <v>0</v>
      </c>
    </row>
    <row r="299" spans="1:6" x14ac:dyDescent="0.25">
      <c r="A299" t="s">
        <v>3</v>
      </c>
      <c r="B299" s="6">
        <v>45560</v>
      </c>
      <c r="C299" t="s">
        <v>181</v>
      </c>
      <c r="D299" t="s">
        <v>10</v>
      </c>
      <c r="E299">
        <v>17825</v>
      </c>
      <c r="F299">
        <v>0</v>
      </c>
    </row>
    <row r="300" spans="1:6" x14ac:dyDescent="0.25">
      <c r="A300" t="s">
        <v>3</v>
      </c>
      <c r="B300" s="6">
        <v>45560</v>
      </c>
      <c r="C300" t="s">
        <v>181</v>
      </c>
      <c r="D300" t="s">
        <v>73</v>
      </c>
      <c r="E300">
        <v>35995</v>
      </c>
      <c r="F300">
        <v>163.63999999999999</v>
      </c>
    </row>
    <row r="301" spans="1:6" x14ac:dyDescent="0.25">
      <c r="A301" t="s">
        <v>3</v>
      </c>
      <c r="B301" s="6">
        <v>45560</v>
      </c>
      <c r="C301" t="s">
        <v>181</v>
      </c>
      <c r="D301" t="s">
        <v>10</v>
      </c>
      <c r="E301">
        <v>54165</v>
      </c>
      <c r="F301">
        <v>0</v>
      </c>
    </row>
    <row r="302" spans="1:6" x14ac:dyDescent="0.25">
      <c r="A302" t="s">
        <v>3</v>
      </c>
      <c r="B302" s="6">
        <v>45560</v>
      </c>
      <c r="C302" t="s">
        <v>179</v>
      </c>
      <c r="D302" t="s">
        <v>73</v>
      </c>
      <c r="E302">
        <v>85253</v>
      </c>
      <c r="F302">
        <v>163.63999999999999</v>
      </c>
    </row>
    <row r="303" spans="1:6" x14ac:dyDescent="0.25">
      <c r="A303" t="s">
        <v>3</v>
      </c>
      <c r="B303" s="6">
        <v>45560</v>
      </c>
      <c r="C303" t="s">
        <v>179</v>
      </c>
      <c r="D303" t="s">
        <v>10</v>
      </c>
      <c r="E303">
        <v>90035</v>
      </c>
      <c r="F303">
        <v>0</v>
      </c>
    </row>
    <row r="304" spans="1:6" x14ac:dyDescent="0.25">
      <c r="A304" t="s">
        <v>3</v>
      </c>
      <c r="B304" s="6">
        <v>45560</v>
      </c>
      <c r="C304" t="s">
        <v>179</v>
      </c>
      <c r="D304" t="s">
        <v>73</v>
      </c>
      <c r="E304">
        <v>70691</v>
      </c>
      <c r="F304">
        <v>163.63999999999999</v>
      </c>
    </row>
    <row r="305" spans="1:6" x14ac:dyDescent="0.25">
      <c r="A305" t="s">
        <v>3</v>
      </c>
      <c r="B305" s="6">
        <v>45560</v>
      </c>
      <c r="C305" t="s">
        <v>179</v>
      </c>
      <c r="D305" t="s">
        <v>10</v>
      </c>
      <c r="E305">
        <v>77827</v>
      </c>
      <c r="F305">
        <v>0</v>
      </c>
    </row>
    <row r="306" spans="1:6" x14ac:dyDescent="0.25">
      <c r="A306" t="s">
        <v>3</v>
      </c>
      <c r="B306" s="6">
        <v>45560</v>
      </c>
      <c r="C306" t="s">
        <v>179</v>
      </c>
      <c r="D306" t="s">
        <v>73</v>
      </c>
      <c r="E306">
        <v>10325</v>
      </c>
      <c r="F306">
        <v>163.63999999999999</v>
      </c>
    </row>
    <row r="307" spans="1:6" x14ac:dyDescent="0.25">
      <c r="A307" t="s">
        <v>3</v>
      </c>
      <c r="B307" s="6">
        <v>45560</v>
      </c>
      <c r="C307" t="s">
        <v>179</v>
      </c>
      <c r="D307" t="s">
        <v>10</v>
      </c>
      <c r="E307">
        <v>15537</v>
      </c>
      <c r="F307">
        <v>0</v>
      </c>
    </row>
    <row r="308" spans="1:6" x14ac:dyDescent="0.25">
      <c r="A308" t="s">
        <v>3</v>
      </c>
      <c r="B308" s="6">
        <v>45560</v>
      </c>
      <c r="C308" t="s">
        <v>179</v>
      </c>
      <c r="D308" t="s">
        <v>10</v>
      </c>
      <c r="E308">
        <v>40300</v>
      </c>
      <c r="F308">
        <v>0</v>
      </c>
    </row>
    <row r="309" spans="1:6" x14ac:dyDescent="0.25">
      <c r="A309" t="s">
        <v>3</v>
      </c>
      <c r="B309" s="6">
        <v>45560</v>
      </c>
      <c r="C309" t="s">
        <v>184</v>
      </c>
      <c r="D309" t="s">
        <v>73</v>
      </c>
      <c r="E309">
        <v>108934</v>
      </c>
      <c r="F309">
        <v>163.63999999999999</v>
      </c>
    </row>
    <row r="310" spans="1:6" x14ac:dyDescent="0.25">
      <c r="A310" t="s">
        <v>3</v>
      </c>
      <c r="B310" s="6">
        <v>45560</v>
      </c>
      <c r="C310" t="s">
        <v>184</v>
      </c>
      <c r="D310" t="s">
        <v>10</v>
      </c>
      <c r="E310">
        <v>115044</v>
      </c>
      <c r="F310">
        <v>0</v>
      </c>
    </row>
    <row r="311" spans="1:6" x14ac:dyDescent="0.25">
      <c r="A311" t="s">
        <v>3</v>
      </c>
      <c r="B311" s="6">
        <v>45560</v>
      </c>
      <c r="C311" t="s">
        <v>184</v>
      </c>
      <c r="D311" t="s">
        <v>73</v>
      </c>
      <c r="E311">
        <v>90326</v>
      </c>
      <c r="F311">
        <v>163.63999999999999</v>
      </c>
    </row>
    <row r="312" spans="1:6" x14ac:dyDescent="0.25">
      <c r="A312" t="s">
        <v>3</v>
      </c>
      <c r="B312" s="6">
        <v>45560</v>
      </c>
      <c r="C312" t="s">
        <v>184</v>
      </c>
      <c r="D312" t="s">
        <v>10</v>
      </c>
      <c r="E312">
        <v>99445</v>
      </c>
      <c r="F312">
        <v>0</v>
      </c>
    </row>
    <row r="313" spans="1:6" x14ac:dyDescent="0.25">
      <c r="A313" t="s">
        <v>3</v>
      </c>
      <c r="B313" s="6">
        <v>45560</v>
      </c>
      <c r="C313" t="s">
        <v>184</v>
      </c>
      <c r="D313" t="s">
        <v>73</v>
      </c>
      <c r="E313">
        <v>13191</v>
      </c>
      <c r="F313">
        <v>163.63999999999999</v>
      </c>
    </row>
    <row r="314" spans="1:6" x14ac:dyDescent="0.25">
      <c r="A314" t="s">
        <v>3</v>
      </c>
      <c r="B314" s="6">
        <v>45560</v>
      </c>
      <c r="C314" t="s">
        <v>184</v>
      </c>
      <c r="D314" t="s">
        <v>10</v>
      </c>
      <c r="E314">
        <v>19850</v>
      </c>
      <c r="F314">
        <v>0</v>
      </c>
    </row>
    <row r="315" spans="1:6" x14ac:dyDescent="0.25">
      <c r="A315" t="s">
        <v>3</v>
      </c>
      <c r="B315" s="6">
        <v>45560</v>
      </c>
      <c r="C315" t="s">
        <v>184</v>
      </c>
      <c r="D315" t="s">
        <v>10</v>
      </c>
      <c r="E315">
        <v>621663</v>
      </c>
      <c r="F315">
        <v>0</v>
      </c>
    </row>
    <row r="316" spans="1:6" x14ac:dyDescent="0.25">
      <c r="A316" t="s">
        <v>3</v>
      </c>
      <c r="B316" s="6">
        <v>45560</v>
      </c>
      <c r="C316" t="s">
        <v>185</v>
      </c>
      <c r="D316" t="s">
        <v>73</v>
      </c>
      <c r="E316">
        <v>372790</v>
      </c>
      <c r="F316">
        <v>163.63999999999999</v>
      </c>
    </row>
    <row r="317" spans="1:6" x14ac:dyDescent="0.25">
      <c r="A317" t="s">
        <v>3</v>
      </c>
      <c r="B317" s="6">
        <v>45560</v>
      </c>
      <c r="C317" t="s">
        <v>185</v>
      </c>
      <c r="D317" t="s">
        <v>10</v>
      </c>
      <c r="E317">
        <v>410427</v>
      </c>
      <c r="F317">
        <v>0</v>
      </c>
    </row>
    <row r="318" spans="1:6" x14ac:dyDescent="0.25">
      <c r="A318" t="s">
        <v>3</v>
      </c>
      <c r="B318" s="6">
        <v>45560</v>
      </c>
      <c r="C318" t="s">
        <v>185</v>
      </c>
      <c r="D318" t="s">
        <v>10</v>
      </c>
      <c r="E318">
        <v>2151806</v>
      </c>
      <c r="F318">
        <v>0</v>
      </c>
    </row>
    <row r="319" spans="1:6" x14ac:dyDescent="0.25">
      <c r="A319" t="s">
        <v>3</v>
      </c>
      <c r="B319" s="6">
        <v>45558</v>
      </c>
      <c r="C319" t="s">
        <v>190</v>
      </c>
      <c r="D319" t="s">
        <v>180</v>
      </c>
      <c r="E319">
        <v>27824</v>
      </c>
      <c r="F319">
        <v>165</v>
      </c>
    </row>
    <row r="320" spans="1:6" x14ac:dyDescent="0.25">
      <c r="A320" t="s">
        <v>3</v>
      </c>
      <c r="B320" s="6">
        <v>45553</v>
      </c>
      <c r="C320" t="s">
        <v>185</v>
      </c>
      <c r="D320" t="s">
        <v>180</v>
      </c>
      <c r="E320">
        <v>2114885</v>
      </c>
      <c r="F320">
        <v>160.93819999999999</v>
      </c>
    </row>
    <row r="321" spans="1:6" x14ac:dyDescent="0.25">
      <c r="A321" t="s">
        <v>3</v>
      </c>
      <c r="B321" s="6">
        <v>45553</v>
      </c>
      <c r="C321" t="s">
        <v>185</v>
      </c>
      <c r="D321" t="s">
        <v>180</v>
      </c>
      <c r="E321">
        <v>2124738</v>
      </c>
      <c r="F321">
        <v>160.38900000000001</v>
      </c>
    </row>
    <row r="322" spans="1:6" x14ac:dyDescent="0.25">
      <c r="A322" t="s">
        <v>3</v>
      </c>
      <c r="B322" s="6">
        <v>45551</v>
      </c>
      <c r="C322" t="s">
        <v>181</v>
      </c>
      <c r="D322" t="s">
        <v>8</v>
      </c>
      <c r="E322">
        <v>32972</v>
      </c>
      <c r="F322">
        <v>0</v>
      </c>
    </row>
    <row r="323" spans="1:6" x14ac:dyDescent="0.25">
      <c r="A323" t="s">
        <v>3</v>
      </c>
      <c r="B323" s="6">
        <v>45551</v>
      </c>
      <c r="C323" t="s">
        <v>181</v>
      </c>
      <c r="D323" t="s">
        <v>8</v>
      </c>
      <c r="E323">
        <v>93422</v>
      </c>
      <c r="F323">
        <v>0</v>
      </c>
    </row>
    <row r="324" spans="1:6" x14ac:dyDescent="0.25">
      <c r="A324" t="s">
        <v>3</v>
      </c>
      <c r="B324" s="6">
        <v>45551</v>
      </c>
      <c r="C324" t="s">
        <v>181</v>
      </c>
      <c r="D324" t="s">
        <v>8</v>
      </c>
      <c r="E324">
        <v>71990</v>
      </c>
      <c r="F324">
        <v>0</v>
      </c>
    </row>
    <row r="325" spans="1:6" x14ac:dyDescent="0.25">
      <c r="A325" t="s">
        <v>3</v>
      </c>
      <c r="B325" s="6">
        <v>45551</v>
      </c>
      <c r="C325" t="s">
        <v>192</v>
      </c>
      <c r="D325" t="s">
        <v>8</v>
      </c>
      <c r="E325">
        <v>1874</v>
      </c>
      <c r="F325">
        <v>0</v>
      </c>
    </row>
    <row r="326" spans="1:6" x14ac:dyDescent="0.25">
      <c r="A326" t="s">
        <v>3</v>
      </c>
      <c r="B326" s="6">
        <v>45551</v>
      </c>
      <c r="C326" t="s">
        <v>192</v>
      </c>
      <c r="D326" t="s">
        <v>8</v>
      </c>
      <c r="E326">
        <v>2018</v>
      </c>
      <c r="F326">
        <v>0</v>
      </c>
    </row>
    <row r="327" spans="1:6" x14ac:dyDescent="0.25">
      <c r="A327" t="s">
        <v>3</v>
      </c>
      <c r="B327" s="6">
        <v>45551</v>
      </c>
      <c r="C327" t="s">
        <v>192</v>
      </c>
      <c r="D327" t="s">
        <v>8</v>
      </c>
      <c r="E327">
        <v>4239</v>
      </c>
      <c r="F327">
        <v>0</v>
      </c>
    </row>
    <row r="328" spans="1:6" x14ac:dyDescent="0.25">
      <c r="A328" t="s">
        <v>3</v>
      </c>
      <c r="B328" s="6">
        <v>45551</v>
      </c>
      <c r="C328" t="s">
        <v>188</v>
      </c>
      <c r="D328" t="s">
        <v>8</v>
      </c>
      <c r="E328">
        <v>1874</v>
      </c>
      <c r="F328">
        <v>0</v>
      </c>
    </row>
    <row r="329" spans="1:6" x14ac:dyDescent="0.25">
      <c r="A329" t="s">
        <v>3</v>
      </c>
      <c r="B329" s="6">
        <v>45551</v>
      </c>
      <c r="C329" t="s">
        <v>188</v>
      </c>
      <c r="D329" t="s">
        <v>8</v>
      </c>
      <c r="E329">
        <v>2018</v>
      </c>
      <c r="F329">
        <v>0</v>
      </c>
    </row>
    <row r="330" spans="1:6" x14ac:dyDescent="0.25">
      <c r="A330" t="s">
        <v>3</v>
      </c>
      <c r="B330" s="6">
        <v>45551</v>
      </c>
      <c r="C330" t="s">
        <v>188</v>
      </c>
      <c r="D330" t="s">
        <v>8</v>
      </c>
      <c r="E330">
        <v>1443</v>
      </c>
      <c r="F330">
        <v>0</v>
      </c>
    </row>
    <row r="331" spans="1:6" x14ac:dyDescent="0.25">
      <c r="A331" t="s">
        <v>3</v>
      </c>
      <c r="B331" s="6">
        <v>45551</v>
      </c>
      <c r="C331" t="s">
        <v>188</v>
      </c>
      <c r="D331" t="s">
        <v>8</v>
      </c>
      <c r="E331">
        <v>601</v>
      </c>
      <c r="F331">
        <v>0</v>
      </c>
    </row>
    <row r="332" spans="1:6" x14ac:dyDescent="0.25">
      <c r="A332" t="s">
        <v>3</v>
      </c>
      <c r="B332" s="6">
        <v>45551</v>
      </c>
      <c r="C332" t="s">
        <v>187</v>
      </c>
      <c r="D332" t="s">
        <v>8</v>
      </c>
      <c r="E332">
        <v>1874</v>
      </c>
      <c r="F332">
        <v>0</v>
      </c>
    </row>
    <row r="333" spans="1:6" x14ac:dyDescent="0.25">
      <c r="A333" t="s">
        <v>3</v>
      </c>
      <c r="B333" s="6">
        <v>45551</v>
      </c>
      <c r="C333" t="s">
        <v>187</v>
      </c>
      <c r="D333" t="s">
        <v>8</v>
      </c>
      <c r="E333">
        <v>2018</v>
      </c>
      <c r="F333">
        <v>0</v>
      </c>
    </row>
    <row r="334" spans="1:6" x14ac:dyDescent="0.25">
      <c r="A334" t="s">
        <v>3</v>
      </c>
      <c r="B334" s="6">
        <v>45551</v>
      </c>
      <c r="C334" t="s">
        <v>187</v>
      </c>
      <c r="D334" t="s">
        <v>8</v>
      </c>
      <c r="E334">
        <v>1443</v>
      </c>
      <c r="F334">
        <v>0</v>
      </c>
    </row>
    <row r="335" spans="1:6" x14ac:dyDescent="0.25">
      <c r="A335" t="s">
        <v>3</v>
      </c>
      <c r="B335" s="6">
        <v>45551</v>
      </c>
      <c r="C335" t="s">
        <v>187</v>
      </c>
      <c r="D335" t="s">
        <v>8</v>
      </c>
      <c r="E335">
        <v>601</v>
      </c>
      <c r="F335">
        <v>0</v>
      </c>
    </row>
    <row r="336" spans="1:6" x14ac:dyDescent="0.25">
      <c r="A336" t="s">
        <v>3</v>
      </c>
      <c r="B336" s="6">
        <v>45551</v>
      </c>
      <c r="C336" t="s">
        <v>183</v>
      </c>
      <c r="D336" t="s">
        <v>8</v>
      </c>
      <c r="E336">
        <v>20649</v>
      </c>
      <c r="F336">
        <v>0</v>
      </c>
    </row>
    <row r="337" spans="1:6" x14ac:dyDescent="0.25">
      <c r="A337" t="s">
        <v>3</v>
      </c>
      <c r="B337" s="6">
        <v>45551</v>
      </c>
      <c r="C337" t="s">
        <v>183</v>
      </c>
      <c r="D337" t="s">
        <v>8</v>
      </c>
      <c r="E337">
        <v>84828</v>
      </c>
      <c r="F337">
        <v>0</v>
      </c>
    </row>
    <row r="338" spans="1:6" x14ac:dyDescent="0.25">
      <c r="A338" t="s">
        <v>3</v>
      </c>
      <c r="B338" s="6">
        <v>45551</v>
      </c>
      <c r="C338" t="s">
        <v>183</v>
      </c>
      <c r="D338" t="s">
        <v>8</v>
      </c>
      <c r="E338">
        <v>94726</v>
      </c>
      <c r="F338">
        <v>0</v>
      </c>
    </row>
    <row r="339" spans="1:6" x14ac:dyDescent="0.25">
      <c r="A339" t="s">
        <v>3</v>
      </c>
      <c r="B339" s="6">
        <v>45551</v>
      </c>
      <c r="C339" t="s">
        <v>182</v>
      </c>
      <c r="D339" t="s">
        <v>8</v>
      </c>
      <c r="E339">
        <v>24352</v>
      </c>
      <c r="F339">
        <v>0</v>
      </c>
    </row>
    <row r="340" spans="1:6" x14ac:dyDescent="0.25">
      <c r="A340" t="s">
        <v>3</v>
      </c>
      <c r="B340" s="6">
        <v>45551</v>
      </c>
      <c r="C340" t="s">
        <v>182</v>
      </c>
      <c r="D340" t="s">
        <v>8</v>
      </c>
      <c r="E340">
        <v>16567</v>
      </c>
      <c r="F340">
        <v>0</v>
      </c>
    </row>
    <row r="341" spans="1:6" x14ac:dyDescent="0.25">
      <c r="A341" t="s">
        <v>3</v>
      </c>
      <c r="B341" s="6">
        <v>45551</v>
      </c>
      <c r="C341" t="s">
        <v>194</v>
      </c>
      <c r="D341" t="s">
        <v>8</v>
      </c>
      <c r="E341">
        <v>121038</v>
      </c>
      <c r="F341">
        <v>0</v>
      </c>
    </row>
    <row r="342" spans="1:6" x14ac:dyDescent="0.25">
      <c r="A342" t="s">
        <v>3</v>
      </c>
      <c r="B342" s="6">
        <v>45551</v>
      </c>
      <c r="C342" t="s">
        <v>194</v>
      </c>
      <c r="D342" t="s">
        <v>8</v>
      </c>
      <c r="E342">
        <v>108391</v>
      </c>
      <c r="F342">
        <v>0</v>
      </c>
    </row>
    <row r="343" spans="1:6" x14ac:dyDescent="0.25">
      <c r="A343" t="s">
        <v>3</v>
      </c>
      <c r="B343" s="6">
        <v>45551</v>
      </c>
      <c r="C343" t="s">
        <v>194</v>
      </c>
      <c r="D343" t="s">
        <v>8</v>
      </c>
      <c r="E343">
        <v>26382</v>
      </c>
      <c r="F343">
        <v>0</v>
      </c>
    </row>
    <row r="344" spans="1:6" x14ac:dyDescent="0.25">
      <c r="A344" t="s">
        <v>3</v>
      </c>
      <c r="B344" s="6">
        <v>45551</v>
      </c>
      <c r="C344" t="s">
        <v>189</v>
      </c>
      <c r="D344" t="s">
        <v>8</v>
      </c>
      <c r="E344">
        <v>2018</v>
      </c>
      <c r="F344">
        <v>0</v>
      </c>
    </row>
    <row r="345" spans="1:6" x14ac:dyDescent="0.25">
      <c r="A345" t="s">
        <v>3</v>
      </c>
      <c r="B345" s="6">
        <v>45551</v>
      </c>
      <c r="C345" t="s">
        <v>189</v>
      </c>
      <c r="D345" t="s">
        <v>8</v>
      </c>
      <c r="E345">
        <v>1443</v>
      </c>
      <c r="F345">
        <v>0</v>
      </c>
    </row>
    <row r="346" spans="1:6" x14ac:dyDescent="0.25">
      <c r="A346" t="s">
        <v>3</v>
      </c>
      <c r="B346" s="6">
        <v>45551</v>
      </c>
      <c r="C346" t="s">
        <v>189</v>
      </c>
      <c r="D346" t="s">
        <v>8</v>
      </c>
      <c r="E346">
        <v>601</v>
      </c>
      <c r="F346">
        <v>0</v>
      </c>
    </row>
    <row r="347" spans="1:6" x14ac:dyDescent="0.25">
      <c r="A347" t="s">
        <v>3</v>
      </c>
      <c r="B347" s="6">
        <v>45551</v>
      </c>
      <c r="C347" t="s">
        <v>189</v>
      </c>
      <c r="D347" t="s">
        <v>8</v>
      </c>
      <c r="E347">
        <v>1874</v>
      </c>
      <c r="F347">
        <v>0</v>
      </c>
    </row>
    <row r="348" spans="1:6" x14ac:dyDescent="0.25">
      <c r="A348" t="s">
        <v>3</v>
      </c>
      <c r="B348" s="6">
        <v>45551</v>
      </c>
      <c r="C348" t="s">
        <v>179</v>
      </c>
      <c r="D348" t="s">
        <v>8</v>
      </c>
      <c r="E348">
        <v>94726</v>
      </c>
      <c r="F348">
        <v>0</v>
      </c>
    </row>
    <row r="349" spans="1:6" x14ac:dyDescent="0.25">
      <c r="A349" t="s">
        <v>3</v>
      </c>
      <c r="B349" s="6">
        <v>45551</v>
      </c>
      <c r="C349" t="s">
        <v>179</v>
      </c>
      <c r="D349" t="s">
        <v>8</v>
      </c>
      <c r="E349">
        <v>84828</v>
      </c>
      <c r="F349">
        <v>0</v>
      </c>
    </row>
    <row r="350" spans="1:6" x14ac:dyDescent="0.25">
      <c r="A350" t="s">
        <v>3</v>
      </c>
      <c r="B350" s="6">
        <v>45551</v>
      </c>
      <c r="C350" t="s">
        <v>179</v>
      </c>
      <c r="D350" t="s">
        <v>8</v>
      </c>
      <c r="E350">
        <v>20649</v>
      </c>
      <c r="F350">
        <v>0</v>
      </c>
    </row>
    <row r="351" spans="1:6" x14ac:dyDescent="0.25">
      <c r="A351" t="s">
        <v>3</v>
      </c>
      <c r="B351" s="6">
        <v>45551</v>
      </c>
      <c r="C351" t="s">
        <v>191</v>
      </c>
      <c r="D351" t="s">
        <v>8</v>
      </c>
      <c r="E351">
        <v>601</v>
      </c>
      <c r="F351">
        <v>0</v>
      </c>
    </row>
    <row r="352" spans="1:6" x14ac:dyDescent="0.25">
      <c r="A352" t="s">
        <v>3</v>
      </c>
      <c r="B352" s="6">
        <v>45551</v>
      </c>
      <c r="C352" t="s">
        <v>191</v>
      </c>
      <c r="D352" t="s">
        <v>8</v>
      </c>
      <c r="E352">
        <v>1443</v>
      </c>
      <c r="F352">
        <v>0</v>
      </c>
    </row>
    <row r="353" spans="1:6" x14ac:dyDescent="0.25">
      <c r="A353" t="s">
        <v>3</v>
      </c>
      <c r="B353" s="6">
        <v>45551</v>
      </c>
      <c r="C353" t="s">
        <v>191</v>
      </c>
      <c r="D353" t="s">
        <v>8</v>
      </c>
      <c r="E353">
        <v>2018</v>
      </c>
      <c r="F353">
        <v>0</v>
      </c>
    </row>
    <row r="354" spans="1:6" x14ac:dyDescent="0.25">
      <c r="A354" t="s">
        <v>3</v>
      </c>
      <c r="B354" s="6">
        <v>45551</v>
      </c>
      <c r="C354" t="s">
        <v>191</v>
      </c>
      <c r="D354" t="s">
        <v>8</v>
      </c>
      <c r="E354">
        <v>1874</v>
      </c>
      <c r="F354">
        <v>0</v>
      </c>
    </row>
    <row r="355" spans="1:6" x14ac:dyDescent="0.25">
      <c r="A355" t="s">
        <v>3</v>
      </c>
      <c r="B355" s="6">
        <v>45551</v>
      </c>
      <c r="C355" t="s">
        <v>190</v>
      </c>
      <c r="D355" t="s">
        <v>8</v>
      </c>
      <c r="E355">
        <v>2677</v>
      </c>
      <c r="F355">
        <v>0</v>
      </c>
    </row>
    <row r="356" spans="1:6" x14ac:dyDescent="0.25">
      <c r="A356" t="s">
        <v>3</v>
      </c>
      <c r="B356" s="6">
        <v>45551</v>
      </c>
      <c r="C356" t="s">
        <v>190</v>
      </c>
      <c r="D356" t="s">
        <v>8</v>
      </c>
      <c r="E356">
        <v>2882</v>
      </c>
      <c r="F356">
        <v>0</v>
      </c>
    </row>
    <row r="357" spans="1:6" x14ac:dyDescent="0.25">
      <c r="A357" t="s">
        <v>3</v>
      </c>
      <c r="B357" s="6">
        <v>45551</v>
      </c>
      <c r="C357" t="s">
        <v>190</v>
      </c>
      <c r="D357" t="s">
        <v>8</v>
      </c>
      <c r="E357">
        <v>2045</v>
      </c>
      <c r="F357">
        <v>0</v>
      </c>
    </row>
    <row r="358" spans="1:6" x14ac:dyDescent="0.25">
      <c r="A358" t="s">
        <v>3</v>
      </c>
      <c r="B358" s="6">
        <v>45551</v>
      </c>
      <c r="C358" t="s">
        <v>190</v>
      </c>
      <c r="D358" t="s">
        <v>8</v>
      </c>
      <c r="E358">
        <v>842</v>
      </c>
      <c r="F358">
        <v>0</v>
      </c>
    </row>
    <row r="359" spans="1:6" x14ac:dyDescent="0.25">
      <c r="A359" t="s">
        <v>3</v>
      </c>
      <c r="B359" s="6">
        <v>45551</v>
      </c>
      <c r="C359" t="s">
        <v>184</v>
      </c>
      <c r="D359" t="s">
        <v>8</v>
      </c>
      <c r="E359">
        <v>121038</v>
      </c>
      <c r="F359">
        <v>0</v>
      </c>
    </row>
    <row r="360" spans="1:6" x14ac:dyDescent="0.25">
      <c r="A360" t="s">
        <v>3</v>
      </c>
      <c r="B360" s="6">
        <v>45551</v>
      </c>
      <c r="C360" t="s">
        <v>184</v>
      </c>
      <c r="D360" t="s">
        <v>8</v>
      </c>
      <c r="E360">
        <v>108391</v>
      </c>
      <c r="F360">
        <v>0</v>
      </c>
    </row>
    <row r="361" spans="1:6" x14ac:dyDescent="0.25">
      <c r="A361" t="s">
        <v>3</v>
      </c>
      <c r="B361" s="6">
        <v>45551</v>
      </c>
      <c r="C361" t="s">
        <v>184</v>
      </c>
      <c r="D361" t="s">
        <v>8</v>
      </c>
      <c r="E361">
        <v>26382</v>
      </c>
      <c r="F361">
        <v>0</v>
      </c>
    </row>
    <row r="362" spans="1:6" x14ac:dyDescent="0.25">
      <c r="A362" t="s">
        <v>3</v>
      </c>
      <c r="B362" s="6">
        <v>45551</v>
      </c>
      <c r="C362" t="s">
        <v>185</v>
      </c>
      <c r="D362" t="s">
        <v>8</v>
      </c>
      <c r="E362">
        <v>447348</v>
      </c>
      <c r="F362">
        <v>0</v>
      </c>
    </row>
    <row r="363" spans="1:6" x14ac:dyDescent="0.25">
      <c r="A363" t="s">
        <v>3</v>
      </c>
      <c r="B363" s="6">
        <v>45551</v>
      </c>
      <c r="C363" t="s">
        <v>186</v>
      </c>
      <c r="D363" t="s">
        <v>8</v>
      </c>
      <c r="E363">
        <v>1874</v>
      </c>
      <c r="F363">
        <v>0</v>
      </c>
    </row>
    <row r="364" spans="1:6" x14ac:dyDescent="0.25">
      <c r="A364" t="s">
        <v>3</v>
      </c>
      <c r="B364" s="6">
        <v>45551</v>
      </c>
      <c r="C364" t="s">
        <v>186</v>
      </c>
      <c r="D364" t="s">
        <v>8</v>
      </c>
      <c r="E364">
        <v>2018</v>
      </c>
      <c r="F364">
        <v>0</v>
      </c>
    </row>
    <row r="365" spans="1:6" x14ac:dyDescent="0.25">
      <c r="A365" t="s">
        <v>3</v>
      </c>
      <c r="B365" s="6">
        <v>45551</v>
      </c>
      <c r="C365" t="s">
        <v>186</v>
      </c>
      <c r="D365" t="s">
        <v>8</v>
      </c>
      <c r="E365">
        <v>1443</v>
      </c>
      <c r="F365">
        <v>0</v>
      </c>
    </row>
    <row r="366" spans="1:6" x14ac:dyDescent="0.25">
      <c r="A366" t="s">
        <v>3</v>
      </c>
      <c r="B366" s="6">
        <v>45551</v>
      </c>
      <c r="C366" t="s">
        <v>186</v>
      </c>
      <c r="D366" t="s">
        <v>8</v>
      </c>
      <c r="E366">
        <v>601</v>
      </c>
      <c r="F366">
        <v>0</v>
      </c>
    </row>
    <row r="367" spans="1:6" x14ac:dyDescent="0.25">
      <c r="A367" t="s">
        <v>3</v>
      </c>
      <c r="B367" s="6">
        <v>45547</v>
      </c>
      <c r="C367" t="s">
        <v>190</v>
      </c>
      <c r="D367" t="s">
        <v>180</v>
      </c>
      <c r="E367">
        <v>28524</v>
      </c>
      <c r="F367">
        <v>154.22290000000001</v>
      </c>
    </row>
    <row r="368" spans="1:6" x14ac:dyDescent="0.25">
      <c r="A368" t="s">
        <v>3</v>
      </c>
      <c r="B368" s="6">
        <v>45547</v>
      </c>
      <c r="C368" t="s">
        <v>190</v>
      </c>
      <c r="D368" t="s">
        <v>180</v>
      </c>
      <c r="E368">
        <v>28828</v>
      </c>
      <c r="F368">
        <v>153.46680000000001</v>
      </c>
    </row>
    <row r="369" spans="1:6" x14ac:dyDescent="0.25">
      <c r="A369" t="s">
        <v>3</v>
      </c>
      <c r="B369" s="6">
        <v>45545</v>
      </c>
      <c r="C369" t="s">
        <v>182</v>
      </c>
      <c r="D369" t="s">
        <v>180</v>
      </c>
      <c r="E369">
        <v>29182</v>
      </c>
      <c r="F369">
        <v>151.53</v>
      </c>
    </row>
    <row r="370" spans="1:6" x14ac:dyDescent="0.25">
      <c r="A370" t="s">
        <v>3</v>
      </c>
      <c r="B370" s="6">
        <v>45541</v>
      </c>
      <c r="C370" t="s">
        <v>179</v>
      </c>
      <c r="D370" t="s">
        <v>74</v>
      </c>
      <c r="E370">
        <v>23496</v>
      </c>
      <c r="F370">
        <v>0</v>
      </c>
    </row>
    <row r="371" spans="1:6" x14ac:dyDescent="0.25">
      <c r="A371" t="s">
        <v>3</v>
      </c>
      <c r="B371" s="6">
        <v>45541</v>
      </c>
      <c r="C371" t="s">
        <v>179</v>
      </c>
      <c r="D371" t="s">
        <v>74</v>
      </c>
      <c r="E371">
        <v>60801</v>
      </c>
      <c r="F371">
        <v>0</v>
      </c>
    </row>
    <row r="372" spans="1:6" x14ac:dyDescent="0.25">
      <c r="A372" t="s">
        <v>3</v>
      </c>
      <c r="B372" s="6">
        <v>45539</v>
      </c>
      <c r="C372" t="s">
        <v>185</v>
      </c>
      <c r="D372" t="s">
        <v>180</v>
      </c>
      <c r="E372">
        <v>2137385</v>
      </c>
      <c r="F372">
        <v>159.84909999999999</v>
      </c>
    </row>
    <row r="373" spans="1:6" x14ac:dyDescent="0.25">
      <c r="A373" t="s">
        <v>3</v>
      </c>
      <c r="B373" s="6">
        <v>45539</v>
      </c>
      <c r="C373" t="s">
        <v>185</v>
      </c>
      <c r="D373" t="s">
        <v>180</v>
      </c>
      <c r="E373">
        <v>2140585</v>
      </c>
      <c r="F373">
        <v>159.0085</v>
      </c>
    </row>
    <row r="374" spans="1:6" x14ac:dyDescent="0.25">
      <c r="A374" t="s">
        <v>3</v>
      </c>
      <c r="B374" s="6">
        <v>45539</v>
      </c>
      <c r="C374" t="s">
        <v>185</v>
      </c>
      <c r="D374" t="s">
        <v>180</v>
      </c>
      <c r="E374">
        <v>2148231</v>
      </c>
      <c r="F374">
        <v>158.13900000000001</v>
      </c>
    </row>
    <row r="375" spans="1:6" x14ac:dyDescent="0.25">
      <c r="A375" t="s">
        <v>3</v>
      </c>
      <c r="B375" s="6">
        <v>45538</v>
      </c>
      <c r="C375" t="s">
        <v>179</v>
      </c>
      <c r="D375" t="s">
        <v>180</v>
      </c>
      <c r="E375">
        <v>39334</v>
      </c>
      <c r="F375">
        <v>163.18</v>
      </c>
    </row>
    <row r="376" spans="1:6" x14ac:dyDescent="0.25">
      <c r="A376" t="s">
        <v>3</v>
      </c>
      <c r="B376" s="6">
        <v>45538</v>
      </c>
      <c r="C376" t="s">
        <v>179</v>
      </c>
      <c r="D376" t="s">
        <v>180</v>
      </c>
      <c r="E376">
        <v>39434</v>
      </c>
      <c r="F376">
        <v>162.47290000000001</v>
      </c>
    </row>
    <row r="377" spans="1:6" x14ac:dyDescent="0.25">
      <c r="A377" t="s">
        <v>3</v>
      </c>
      <c r="B377" s="6">
        <v>45538</v>
      </c>
      <c r="C377" t="s">
        <v>179</v>
      </c>
      <c r="D377" t="s">
        <v>180</v>
      </c>
      <c r="E377">
        <v>41534</v>
      </c>
      <c r="F377">
        <v>161.7867</v>
      </c>
    </row>
    <row r="378" spans="1:6" x14ac:dyDescent="0.25">
      <c r="A378" t="s">
        <v>3</v>
      </c>
      <c r="B378" s="6">
        <v>45538</v>
      </c>
      <c r="C378" t="s">
        <v>179</v>
      </c>
      <c r="D378" t="s">
        <v>180</v>
      </c>
      <c r="E378">
        <v>45734</v>
      </c>
      <c r="F378">
        <v>160.5635</v>
      </c>
    </row>
    <row r="379" spans="1:6" x14ac:dyDescent="0.25">
      <c r="A379" t="s">
        <v>3</v>
      </c>
      <c r="B379" s="6">
        <v>45538</v>
      </c>
      <c r="C379" t="s">
        <v>179</v>
      </c>
      <c r="D379" t="s">
        <v>180</v>
      </c>
      <c r="E379">
        <v>53347</v>
      </c>
      <c r="F379">
        <v>159.25360000000001</v>
      </c>
    </row>
    <row r="380" spans="1:6" x14ac:dyDescent="0.25">
      <c r="A380" t="s">
        <v>3</v>
      </c>
      <c r="B380" s="6">
        <v>45538</v>
      </c>
      <c r="C380" t="s">
        <v>179</v>
      </c>
      <c r="D380" t="s">
        <v>180</v>
      </c>
      <c r="E380">
        <v>56234</v>
      </c>
      <c r="F380">
        <v>158.3374</v>
      </c>
    </row>
    <row r="381" spans="1:6" x14ac:dyDescent="0.25">
      <c r="A381" t="s">
        <v>3</v>
      </c>
      <c r="B381" s="6">
        <v>45538</v>
      </c>
      <c r="C381" t="s">
        <v>182</v>
      </c>
      <c r="D381" t="s">
        <v>180</v>
      </c>
      <c r="E381">
        <v>32017</v>
      </c>
      <c r="F381">
        <v>160.44</v>
      </c>
    </row>
    <row r="382" spans="1:6" x14ac:dyDescent="0.25">
      <c r="A382" t="s">
        <v>3</v>
      </c>
      <c r="B382" s="6">
        <v>45529</v>
      </c>
      <c r="C382" t="s">
        <v>182</v>
      </c>
      <c r="D382" t="s">
        <v>73</v>
      </c>
      <c r="E382">
        <v>16547</v>
      </c>
      <c r="F382">
        <v>167.43</v>
      </c>
    </row>
    <row r="383" spans="1:6" x14ac:dyDescent="0.25">
      <c r="A383" t="s">
        <v>3</v>
      </c>
      <c r="B383" s="6">
        <v>45529</v>
      </c>
      <c r="C383" t="s">
        <v>182</v>
      </c>
      <c r="D383" t="s">
        <v>10</v>
      </c>
      <c r="E383">
        <v>17939</v>
      </c>
      <c r="F383">
        <v>0</v>
      </c>
    </row>
    <row r="384" spans="1:6" x14ac:dyDescent="0.25">
      <c r="A384" t="s">
        <v>3</v>
      </c>
      <c r="B384" s="6">
        <v>45529</v>
      </c>
      <c r="C384" t="s">
        <v>182</v>
      </c>
      <c r="D384" t="s">
        <v>10</v>
      </c>
      <c r="E384">
        <v>32699</v>
      </c>
      <c r="F384">
        <v>0</v>
      </c>
    </row>
    <row r="385" spans="1:6" x14ac:dyDescent="0.25">
      <c r="A385" t="s">
        <v>3</v>
      </c>
      <c r="B385" s="6">
        <v>45525</v>
      </c>
      <c r="C385" t="s">
        <v>185</v>
      </c>
      <c r="D385" t="s">
        <v>180</v>
      </c>
      <c r="E385">
        <v>2159885</v>
      </c>
      <c r="F385">
        <v>168.09469999999999</v>
      </c>
    </row>
    <row r="386" spans="1:6" x14ac:dyDescent="0.25">
      <c r="A386" t="s">
        <v>3</v>
      </c>
      <c r="B386" s="6">
        <v>45525</v>
      </c>
      <c r="C386" t="s">
        <v>185</v>
      </c>
      <c r="D386" t="s">
        <v>180</v>
      </c>
      <c r="E386">
        <v>2166174</v>
      </c>
      <c r="F386">
        <v>167.49700000000001</v>
      </c>
    </row>
    <row r="387" spans="1:6" x14ac:dyDescent="0.25">
      <c r="A387" t="s">
        <v>3</v>
      </c>
      <c r="B387" s="6">
        <v>45520</v>
      </c>
      <c r="C387" t="s">
        <v>190</v>
      </c>
      <c r="D387" t="s">
        <v>180</v>
      </c>
      <c r="E387">
        <v>29324</v>
      </c>
      <c r="F387">
        <v>165</v>
      </c>
    </row>
    <row r="388" spans="1:6" x14ac:dyDescent="0.25">
      <c r="A388" t="s">
        <v>3</v>
      </c>
      <c r="B388" s="6">
        <v>45519</v>
      </c>
      <c r="C388" t="s">
        <v>194</v>
      </c>
      <c r="D388" t="s">
        <v>180</v>
      </c>
      <c r="E388">
        <v>312210</v>
      </c>
      <c r="F388">
        <v>163.04640000000001</v>
      </c>
    </row>
    <row r="389" spans="1:6" x14ac:dyDescent="0.25">
      <c r="A389" t="s">
        <v>3</v>
      </c>
      <c r="B389" s="6">
        <v>45519</v>
      </c>
      <c r="C389" t="s">
        <v>194</v>
      </c>
      <c r="D389" t="s">
        <v>180</v>
      </c>
      <c r="E389">
        <v>331468</v>
      </c>
      <c r="F389">
        <v>162.02879999999999</v>
      </c>
    </row>
    <row r="390" spans="1:6" x14ac:dyDescent="0.25">
      <c r="A390" t="s">
        <v>3</v>
      </c>
      <c r="B390" s="6">
        <v>45516</v>
      </c>
      <c r="C390" t="s">
        <v>190</v>
      </c>
      <c r="D390" t="s">
        <v>180</v>
      </c>
      <c r="E390">
        <v>30024</v>
      </c>
      <c r="F390">
        <v>164.459</v>
      </c>
    </row>
    <row r="391" spans="1:6" x14ac:dyDescent="0.25">
      <c r="A391" t="s">
        <v>3</v>
      </c>
      <c r="B391" s="6">
        <v>45516</v>
      </c>
      <c r="C391" t="s">
        <v>190</v>
      </c>
      <c r="D391" t="s">
        <v>180</v>
      </c>
      <c r="E391">
        <v>30040</v>
      </c>
      <c r="F391">
        <v>163.39830000000001</v>
      </c>
    </row>
    <row r="392" spans="1:6" x14ac:dyDescent="0.25">
      <c r="A392" t="s">
        <v>3</v>
      </c>
      <c r="B392" s="6">
        <v>45516</v>
      </c>
      <c r="C392" t="s">
        <v>190</v>
      </c>
      <c r="D392" t="s">
        <v>180</v>
      </c>
      <c r="E392">
        <v>30422</v>
      </c>
      <c r="F392">
        <v>162.61660000000001</v>
      </c>
    </row>
    <row r="393" spans="1:6" x14ac:dyDescent="0.25">
      <c r="A393" t="s">
        <v>3</v>
      </c>
      <c r="B393" s="6">
        <v>45516</v>
      </c>
      <c r="C393" t="s">
        <v>190</v>
      </c>
      <c r="D393" t="s">
        <v>74</v>
      </c>
      <c r="E393">
        <v>6093</v>
      </c>
      <c r="F393">
        <v>0</v>
      </c>
    </row>
    <row r="394" spans="1:6" x14ac:dyDescent="0.25">
      <c r="A394" t="s">
        <v>3</v>
      </c>
      <c r="B394" s="6">
        <v>45516</v>
      </c>
      <c r="C394" t="s">
        <v>190</v>
      </c>
      <c r="D394" t="s">
        <v>74</v>
      </c>
      <c r="E394">
        <v>0</v>
      </c>
      <c r="F394">
        <v>0</v>
      </c>
    </row>
    <row r="395" spans="1:6" x14ac:dyDescent="0.25">
      <c r="A395" t="s">
        <v>3</v>
      </c>
      <c r="B395" s="6">
        <v>45511</v>
      </c>
      <c r="C395" t="s">
        <v>181</v>
      </c>
      <c r="D395" t="s">
        <v>8</v>
      </c>
      <c r="E395">
        <v>32931</v>
      </c>
      <c r="F395">
        <v>0</v>
      </c>
    </row>
    <row r="396" spans="1:6" x14ac:dyDescent="0.25">
      <c r="A396" t="s">
        <v>3</v>
      </c>
      <c r="B396" s="6">
        <v>45511</v>
      </c>
      <c r="C396" t="s">
        <v>181</v>
      </c>
      <c r="D396" t="s">
        <v>8</v>
      </c>
      <c r="E396">
        <v>93305</v>
      </c>
      <c r="F396">
        <v>0</v>
      </c>
    </row>
    <row r="397" spans="1:6" x14ac:dyDescent="0.25">
      <c r="A397" t="s">
        <v>3</v>
      </c>
      <c r="B397" s="6">
        <v>45511</v>
      </c>
      <c r="C397" t="s">
        <v>181</v>
      </c>
      <c r="D397" t="s">
        <v>8</v>
      </c>
      <c r="E397">
        <v>71900</v>
      </c>
      <c r="F397">
        <v>0</v>
      </c>
    </row>
    <row r="398" spans="1:6" x14ac:dyDescent="0.25">
      <c r="A398" t="s">
        <v>3</v>
      </c>
      <c r="B398" s="6">
        <v>45511</v>
      </c>
      <c r="C398" t="s">
        <v>185</v>
      </c>
      <c r="D398" t="s">
        <v>180</v>
      </c>
      <c r="E398">
        <v>2182385</v>
      </c>
      <c r="F398">
        <v>164.55</v>
      </c>
    </row>
    <row r="399" spans="1:6" x14ac:dyDescent="0.25">
      <c r="A399" t="s">
        <v>3</v>
      </c>
      <c r="B399" s="6">
        <v>45511</v>
      </c>
      <c r="C399" t="s">
        <v>185</v>
      </c>
      <c r="D399" t="s">
        <v>180</v>
      </c>
      <c r="E399">
        <v>2182685</v>
      </c>
      <c r="F399">
        <v>163.82490000000001</v>
      </c>
    </row>
    <row r="400" spans="1:6" x14ac:dyDescent="0.25">
      <c r="A400" t="s">
        <v>3</v>
      </c>
      <c r="B400" s="6">
        <v>45511</v>
      </c>
      <c r="C400" t="s">
        <v>185</v>
      </c>
      <c r="D400" t="s">
        <v>180</v>
      </c>
      <c r="E400">
        <v>2187660</v>
      </c>
      <c r="F400">
        <v>162.87039999999999</v>
      </c>
    </row>
    <row r="401" spans="1:6" x14ac:dyDescent="0.25">
      <c r="A401" t="s">
        <v>3</v>
      </c>
      <c r="B401" s="6">
        <v>45511</v>
      </c>
      <c r="C401" t="s">
        <v>185</v>
      </c>
      <c r="D401" t="s">
        <v>180</v>
      </c>
      <c r="E401">
        <v>2195024</v>
      </c>
      <c r="F401">
        <v>161.64920000000001</v>
      </c>
    </row>
    <row r="402" spans="1:6" x14ac:dyDescent="0.25">
      <c r="A402" t="s">
        <v>3</v>
      </c>
      <c r="B402" s="6">
        <v>45511</v>
      </c>
      <c r="C402" t="s">
        <v>185</v>
      </c>
      <c r="D402" t="s">
        <v>180</v>
      </c>
      <c r="E402">
        <v>2198980</v>
      </c>
      <c r="F402">
        <v>160.7987</v>
      </c>
    </row>
    <row r="403" spans="1:6" x14ac:dyDescent="0.25">
      <c r="A403" t="s">
        <v>3</v>
      </c>
      <c r="B403" s="6">
        <v>45506</v>
      </c>
      <c r="C403" t="s">
        <v>182</v>
      </c>
      <c r="D403" t="s">
        <v>180</v>
      </c>
      <c r="E403">
        <v>31334</v>
      </c>
      <c r="F403">
        <v>168</v>
      </c>
    </row>
    <row r="404" spans="1:6" x14ac:dyDescent="0.25">
      <c r="A404" t="s">
        <v>3</v>
      </c>
      <c r="B404" s="6">
        <v>45503</v>
      </c>
      <c r="C404" t="s">
        <v>183</v>
      </c>
      <c r="D404" t="s">
        <v>74</v>
      </c>
      <c r="E404">
        <v>200000</v>
      </c>
      <c r="F404">
        <v>0</v>
      </c>
    </row>
    <row r="405" spans="1:6" x14ac:dyDescent="0.25">
      <c r="A405" t="s">
        <v>3</v>
      </c>
      <c r="B405" s="6">
        <v>45503</v>
      </c>
      <c r="C405" t="s">
        <v>183</v>
      </c>
      <c r="D405" t="s">
        <v>74</v>
      </c>
      <c r="E405">
        <v>1590659</v>
      </c>
      <c r="F405">
        <v>0</v>
      </c>
    </row>
    <row r="406" spans="1:6" x14ac:dyDescent="0.25">
      <c r="A406" t="s">
        <v>3</v>
      </c>
      <c r="B406" s="6">
        <v>45499</v>
      </c>
      <c r="C406" t="s">
        <v>182</v>
      </c>
      <c r="D406" t="s">
        <v>73</v>
      </c>
      <c r="E406">
        <v>19304</v>
      </c>
      <c r="F406">
        <v>174.37</v>
      </c>
    </row>
    <row r="407" spans="1:6" x14ac:dyDescent="0.25">
      <c r="A407" t="s">
        <v>3</v>
      </c>
      <c r="B407" s="6">
        <v>45499</v>
      </c>
      <c r="C407" t="s">
        <v>182</v>
      </c>
      <c r="D407" t="s">
        <v>10</v>
      </c>
      <c r="E407">
        <v>20696</v>
      </c>
      <c r="F407">
        <v>0</v>
      </c>
    </row>
    <row r="408" spans="1:6" x14ac:dyDescent="0.25">
      <c r="A408" t="s">
        <v>3</v>
      </c>
      <c r="B408" s="6">
        <v>45499</v>
      </c>
      <c r="C408" t="s">
        <v>182</v>
      </c>
      <c r="D408" t="s">
        <v>10</v>
      </c>
      <c r="E408">
        <v>32016</v>
      </c>
      <c r="F408">
        <v>0</v>
      </c>
    </row>
    <row r="409" spans="1:6" x14ac:dyDescent="0.25">
      <c r="A409" t="s">
        <v>3</v>
      </c>
      <c r="B409" s="6">
        <v>45499</v>
      </c>
      <c r="C409" t="s">
        <v>184</v>
      </c>
      <c r="D409" t="s">
        <v>74</v>
      </c>
      <c r="E409">
        <v>600191</v>
      </c>
      <c r="F409">
        <v>0</v>
      </c>
    </row>
    <row r="410" spans="1:6" x14ac:dyDescent="0.25">
      <c r="A410" t="s">
        <v>3</v>
      </c>
      <c r="B410" s="6">
        <v>45490</v>
      </c>
      <c r="C410" t="s">
        <v>185</v>
      </c>
      <c r="D410" t="s">
        <v>180</v>
      </c>
      <c r="E410">
        <v>2204885</v>
      </c>
      <c r="F410">
        <v>184.32300000000001</v>
      </c>
    </row>
    <row r="411" spans="1:6" x14ac:dyDescent="0.25">
      <c r="A411" t="s">
        <v>3</v>
      </c>
      <c r="B411" s="6">
        <v>45490</v>
      </c>
      <c r="C411" t="s">
        <v>185</v>
      </c>
      <c r="D411" t="s">
        <v>180</v>
      </c>
      <c r="E411">
        <v>2205885</v>
      </c>
      <c r="F411">
        <v>183.13849999999999</v>
      </c>
    </row>
    <row r="412" spans="1:6" x14ac:dyDescent="0.25">
      <c r="A412" t="s">
        <v>3</v>
      </c>
      <c r="B412" s="6">
        <v>45490</v>
      </c>
      <c r="C412" t="s">
        <v>185</v>
      </c>
      <c r="D412" t="s">
        <v>180</v>
      </c>
      <c r="E412">
        <v>2215034</v>
      </c>
      <c r="F412">
        <v>182.49100000000001</v>
      </c>
    </row>
    <row r="413" spans="1:6" x14ac:dyDescent="0.25">
      <c r="A413" t="s">
        <v>3</v>
      </c>
      <c r="B413" s="6">
        <v>45485</v>
      </c>
      <c r="C413" t="s">
        <v>190</v>
      </c>
      <c r="D413" t="s">
        <v>180</v>
      </c>
      <c r="E413">
        <v>30824</v>
      </c>
      <c r="F413">
        <v>186.41370000000001</v>
      </c>
    </row>
    <row r="414" spans="1:6" x14ac:dyDescent="0.25">
      <c r="A414" t="s">
        <v>3</v>
      </c>
      <c r="B414" s="6">
        <v>45485</v>
      </c>
      <c r="C414" t="s">
        <v>190</v>
      </c>
      <c r="D414" t="s">
        <v>180</v>
      </c>
      <c r="E414">
        <v>31298</v>
      </c>
      <c r="F414">
        <v>185.59</v>
      </c>
    </row>
    <row r="415" spans="1:6" x14ac:dyDescent="0.25">
      <c r="A415" t="s">
        <v>3</v>
      </c>
      <c r="B415" s="6">
        <v>45476</v>
      </c>
      <c r="C415" t="s">
        <v>188</v>
      </c>
      <c r="D415" t="s">
        <v>8</v>
      </c>
      <c r="E415">
        <v>1953</v>
      </c>
      <c r="F415">
        <v>0</v>
      </c>
    </row>
    <row r="416" spans="1:6" x14ac:dyDescent="0.25">
      <c r="A416" t="s">
        <v>3</v>
      </c>
      <c r="B416" s="6">
        <v>45476</v>
      </c>
      <c r="C416" t="s">
        <v>189</v>
      </c>
      <c r="D416" t="s">
        <v>8</v>
      </c>
      <c r="E416">
        <v>1953</v>
      </c>
      <c r="F416">
        <v>0</v>
      </c>
    </row>
    <row r="417" spans="1:6" x14ac:dyDescent="0.25">
      <c r="A417" t="s">
        <v>3</v>
      </c>
      <c r="B417" s="6">
        <v>45476</v>
      </c>
      <c r="C417" t="s">
        <v>190</v>
      </c>
      <c r="D417" t="s">
        <v>8</v>
      </c>
      <c r="E417">
        <v>2790</v>
      </c>
      <c r="F417">
        <v>0</v>
      </c>
    </row>
    <row r="418" spans="1:6" x14ac:dyDescent="0.25">
      <c r="A418" t="s">
        <v>3</v>
      </c>
      <c r="B418" s="6">
        <v>45476</v>
      </c>
      <c r="C418" t="s">
        <v>187</v>
      </c>
      <c r="D418" t="s">
        <v>8</v>
      </c>
      <c r="E418">
        <v>1953</v>
      </c>
      <c r="F418">
        <v>0</v>
      </c>
    </row>
    <row r="419" spans="1:6" x14ac:dyDescent="0.25">
      <c r="A419" t="s">
        <v>3</v>
      </c>
      <c r="B419" s="6">
        <v>45476</v>
      </c>
      <c r="C419" t="s">
        <v>191</v>
      </c>
      <c r="D419" t="s">
        <v>8</v>
      </c>
      <c r="E419">
        <v>1953</v>
      </c>
      <c r="F419">
        <v>0</v>
      </c>
    </row>
    <row r="420" spans="1:6" x14ac:dyDescent="0.25">
      <c r="A420" t="s">
        <v>3</v>
      </c>
      <c r="B420" s="6">
        <v>45476</v>
      </c>
      <c r="C420" t="s">
        <v>192</v>
      </c>
      <c r="D420" t="s">
        <v>8</v>
      </c>
      <c r="E420">
        <v>1953</v>
      </c>
      <c r="F420">
        <v>0</v>
      </c>
    </row>
    <row r="421" spans="1:6" x14ac:dyDescent="0.25">
      <c r="A421" t="s">
        <v>3</v>
      </c>
      <c r="B421" s="6">
        <v>45476</v>
      </c>
      <c r="C421" t="s">
        <v>186</v>
      </c>
      <c r="D421" t="s">
        <v>8</v>
      </c>
      <c r="E421">
        <v>1953</v>
      </c>
      <c r="F421">
        <v>0</v>
      </c>
    </row>
    <row r="422" spans="1:6" x14ac:dyDescent="0.25">
      <c r="A422" t="s">
        <v>3</v>
      </c>
      <c r="B422" s="6">
        <v>45476</v>
      </c>
      <c r="C422" t="s">
        <v>185</v>
      </c>
      <c r="D422" t="s">
        <v>180</v>
      </c>
      <c r="E422">
        <v>2227385</v>
      </c>
      <c r="F422">
        <v>187.1807</v>
      </c>
    </row>
    <row r="423" spans="1:6" x14ac:dyDescent="0.25">
      <c r="A423" t="s">
        <v>3</v>
      </c>
      <c r="B423" s="6">
        <v>45476</v>
      </c>
      <c r="C423" t="s">
        <v>185</v>
      </c>
      <c r="D423" t="s">
        <v>180</v>
      </c>
      <c r="E423">
        <v>2240910</v>
      </c>
      <c r="F423">
        <v>186.08680000000001</v>
      </c>
    </row>
    <row r="424" spans="1:6" x14ac:dyDescent="0.25">
      <c r="A424" t="s">
        <v>3</v>
      </c>
      <c r="B424" s="6">
        <v>45475</v>
      </c>
      <c r="C424" t="s">
        <v>182</v>
      </c>
      <c r="D424" t="s">
        <v>180</v>
      </c>
      <c r="E424">
        <v>30650</v>
      </c>
      <c r="F424">
        <v>183.47</v>
      </c>
    </row>
    <row r="425" spans="1:6" x14ac:dyDescent="0.25">
      <c r="A425" t="s">
        <v>3</v>
      </c>
      <c r="B425" s="6">
        <v>45475</v>
      </c>
      <c r="C425" t="s">
        <v>194</v>
      </c>
      <c r="D425" t="s">
        <v>74</v>
      </c>
      <c r="E425">
        <v>3271</v>
      </c>
      <c r="F425">
        <v>0</v>
      </c>
    </row>
    <row r="426" spans="1:6" x14ac:dyDescent="0.25">
      <c r="A426" t="s">
        <v>3</v>
      </c>
      <c r="B426" s="6">
        <v>45475</v>
      </c>
      <c r="C426" t="s">
        <v>194</v>
      </c>
      <c r="D426" t="s">
        <v>74</v>
      </c>
      <c r="E426">
        <v>346467</v>
      </c>
      <c r="F426">
        <v>0</v>
      </c>
    </row>
    <row r="427" spans="1:6" x14ac:dyDescent="0.25">
      <c r="A427" t="s">
        <v>3</v>
      </c>
      <c r="B427" s="6">
        <v>45474</v>
      </c>
      <c r="C427" t="s">
        <v>194</v>
      </c>
      <c r="D427" t="s">
        <v>180</v>
      </c>
      <c r="E427">
        <v>9</v>
      </c>
      <c r="F427">
        <v>185.14</v>
      </c>
    </row>
    <row r="428" spans="1:6" x14ac:dyDescent="0.25">
      <c r="A428" t="s">
        <v>3</v>
      </c>
      <c r="B428" s="6">
        <v>45474</v>
      </c>
      <c r="C428" t="s">
        <v>194</v>
      </c>
      <c r="D428" t="s">
        <v>180</v>
      </c>
      <c r="E428">
        <v>109</v>
      </c>
      <c r="F428">
        <v>184.285</v>
      </c>
    </row>
    <row r="429" spans="1:6" x14ac:dyDescent="0.25">
      <c r="A429" t="s">
        <v>3</v>
      </c>
      <c r="B429" s="6">
        <v>45474</v>
      </c>
      <c r="C429" t="s">
        <v>194</v>
      </c>
      <c r="D429" t="s">
        <v>180</v>
      </c>
      <c r="E429">
        <v>1771</v>
      </c>
      <c r="F429">
        <v>183.584</v>
      </c>
    </row>
    <row r="430" spans="1:6" x14ac:dyDescent="0.25">
      <c r="A430" t="s">
        <v>3</v>
      </c>
      <c r="B430" s="6">
        <v>45468</v>
      </c>
      <c r="C430" t="s">
        <v>183</v>
      </c>
      <c r="D430" t="s">
        <v>73</v>
      </c>
      <c r="E430">
        <v>84721</v>
      </c>
      <c r="F430">
        <v>180.79</v>
      </c>
    </row>
    <row r="431" spans="1:6" x14ac:dyDescent="0.25">
      <c r="A431" t="s">
        <v>3</v>
      </c>
      <c r="B431" s="6">
        <v>45468</v>
      </c>
      <c r="C431" t="s">
        <v>183</v>
      </c>
      <c r="D431" t="s">
        <v>10</v>
      </c>
      <c r="E431">
        <v>91849</v>
      </c>
      <c r="F431">
        <v>0</v>
      </c>
    </row>
    <row r="432" spans="1:6" x14ac:dyDescent="0.25">
      <c r="A432" t="s">
        <v>3</v>
      </c>
      <c r="B432" s="6">
        <v>45468</v>
      </c>
      <c r="C432" t="s">
        <v>183</v>
      </c>
      <c r="D432" t="s">
        <v>73</v>
      </c>
      <c r="E432">
        <v>20624</v>
      </c>
      <c r="F432">
        <v>180.79</v>
      </c>
    </row>
    <row r="433" spans="1:6" x14ac:dyDescent="0.25">
      <c r="A433" t="s">
        <v>3</v>
      </c>
      <c r="B433" s="6">
        <v>45468</v>
      </c>
      <c r="C433" t="s">
        <v>183</v>
      </c>
      <c r="D433" t="s">
        <v>10</v>
      </c>
      <c r="E433">
        <v>25829</v>
      </c>
      <c r="F433">
        <v>0</v>
      </c>
    </row>
    <row r="434" spans="1:6" x14ac:dyDescent="0.25">
      <c r="A434" t="s">
        <v>3</v>
      </c>
      <c r="B434" s="6">
        <v>45468</v>
      </c>
      <c r="C434" t="s">
        <v>183</v>
      </c>
      <c r="D434" t="s">
        <v>73</v>
      </c>
      <c r="E434">
        <v>94607</v>
      </c>
      <c r="F434">
        <v>180.79</v>
      </c>
    </row>
    <row r="435" spans="1:6" x14ac:dyDescent="0.25">
      <c r="A435" t="s">
        <v>3</v>
      </c>
      <c r="B435" s="6">
        <v>45468</v>
      </c>
      <c r="C435" t="s">
        <v>183</v>
      </c>
      <c r="D435" t="s">
        <v>10</v>
      </c>
      <c r="E435">
        <v>104158</v>
      </c>
      <c r="F435">
        <v>0</v>
      </c>
    </row>
    <row r="436" spans="1:6" x14ac:dyDescent="0.25">
      <c r="A436" t="s">
        <v>3</v>
      </c>
      <c r="B436" s="6">
        <v>45468</v>
      </c>
      <c r="C436" t="s">
        <v>183</v>
      </c>
      <c r="D436" t="s">
        <v>10</v>
      </c>
      <c r="E436">
        <v>1810659</v>
      </c>
      <c r="F436">
        <v>0</v>
      </c>
    </row>
    <row r="437" spans="1:6" x14ac:dyDescent="0.25">
      <c r="A437" t="s">
        <v>3</v>
      </c>
      <c r="B437" s="6">
        <v>45468</v>
      </c>
      <c r="C437" t="s">
        <v>182</v>
      </c>
      <c r="D437" t="s">
        <v>73</v>
      </c>
      <c r="E437">
        <v>22062</v>
      </c>
      <c r="F437">
        <v>180.79</v>
      </c>
    </row>
    <row r="438" spans="1:6" x14ac:dyDescent="0.25">
      <c r="A438" t="s">
        <v>3</v>
      </c>
      <c r="B438" s="6">
        <v>45468</v>
      </c>
      <c r="C438" t="s">
        <v>182</v>
      </c>
      <c r="D438" t="s">
        <v>10</v>
      </c>
      <c r="E438">
        <v>23454</v>
      </c>
      <c r="F438">
        <v>0</v>
      </c>
    </row>
    <row r="439" spans="1:6" x14ac:dyDescent="0.25">
      <c r="A439" t="s">
        <v>3</v>
      </c>
      <c r="B439" s="6">
        <v>45468</v>
      </c>
      <c r="C439" t="s">
        <v>182</v>
      </c>
      <c r="D439" t="s">
        <v>10</v>
      </c>
      <c r="E439">
        <v>31332</v>
      </c>
      <c r="F439">
        <v>0</v>
      </c>
    </row>
    <row r="440" spans="1:6" x14ac:dyDescent="0.25">
      <c r="A440" t="s">
        <v>3</v>
      </c>
      <c r="B440" s="6">
        <v>45468</v>
      </c>
      <c r="C440" t="s">
        <v>194</v>
      </c>
      <c r="D440" t="s">
        <v>73</v>
      </c>
      <c r="E440">
        <v>120886</v>
      </c>
      <c r="F440">
        <v>180.79</v>
      </c>
    </row>
    <row r="441" spans="1:6" x14ac:dyDescent="0.25">
      <c r="A441" t="s">
        <v>3</v>
      </c>
      <c r="B441" s="6">
        <v>45468</v>
      </c>
      <c r="C441" t="s">
        <v>194</v>
      </c>
      <c r="D441" t="s">
        <v>10</v>
      </c>
      <c r="E441">
        <v>133091</v>
      </c>
      <c r="F441">
        <v>0</v>
      </c>
    </row>
    <row r="442" spans="1:6" x14ac:dyDescent="0.25">
      <c r="A442" t="s">
        <v>3</v>
      </c>
      <c r="B442" s="6">
        <v>45468</v>
      </c>
      <c r="C442" t="s">
        <v>194</v>
      </c>
      <c r="D442" t="s">
        <v>73</v>
      </c>
      <c r="E442">
        <v>108255</v>
      </c>
      <c r="F442">
        <v>180.79</v>
      </c>
    </row>
    <row r="443" spans="1:6" x14ac:dyDescent="0.25">
      <c r="A443" t="s">
        <v>3</v>
      </c>
      <c r="B443" s="6">
        <v>45468</v>
      </c>
      <c r="C443" t="s">
        <v>194</v>
      </c>
      <c r="D443" t="s">
        <v>10</v>
      </c>
      <c r="E443">
        <v>117363</v>
      </c>
      <c r="F443">
        <v>0</v>
      </c>
    </row>
    <row r="444" spans="1:6" x14ac:dyDescent="0.25">
      <c r="A444" t="s">
        <v>3</v>
      </c>
      <c r="B444" s="6">
        <v>45468</v>
      </c>
      <c r="C444" t="s">
        <v>194</v>
      </c>
      <c r="D444" t="s">
        <v>73</v>
      </c>
      <c r="E444">
        <v>26349</v>
      </c>
      <c r="F444">
        <v>180.79</v>
      </c>
    </row>
    <row r="445" spans="1:6" x14ac:dyDescent="0.25">
      <c r="A445" t="s">
        <v>3</v>
      </c>
      <c r="B445" s="6">
        <v>45468</v>
      </c>
      <c r="C445" t="s">
        <v>194</v>
      </c>
      <c r="D445" t="s">
        <v>10</v>
      </c>
      <c r="E445">
        <v>33000</v>
      </c>
      <c r="F445">
        <v>0</v>
      </c>
    </row>
    <row r="446" spans="1:6" x14ac:dyDescent="0.25">
      <c r="A446" t="s">
        <v>3</v>
      </c>
      <c r="B446" s="6">
        <v>45468</v>
      </c>
      <c r="C446" t="s">
        <v>194</v>
      </c>
      <c r="D446" t="s">
        <v>10</v>
      </c>
      <c r="E446">
        <v>27439</v>
      </c>
      <c r="F446">
        <v>0</v>
      </c>
    </row>
    <row r="447" spans="1:6" x14ac:dyDescent="0.25">
      <c r="A447" t="s">
        <v>3</v>
      </c>
      <c r="B447" s="6">
        <v>45468</v>
      </c>
      <c r="C447" t="s">
        <v>179</v>
      </c>
      <c r="D447" t="s">
        <v>73</v>
      </c>
      <c r="E447">
        <v>94607</v>
      </c>
      <c r="F447">
        <v>180.79</v>
      </c>
    </row>
    <row r="448" spans="1:6" x14ac:dyDescent="0.25">
      <c r="A448" t="s">
        <v>3</v>
      </c>
      <c r="B448" s="6">
        <v>45468</v>
      </c>
      <c r="C448" t="s">
        <v>179</v>
      </c>
      <c r="D448" t="s">
        <v>10</v>
      </c>
      <c r="E448">
        <v>104158</v>
      </c>
      <c r="F448">
        <v>0</v>
      </c>
    </row>
    <row r="449" spans="1:6" x14ac:dyDescent="0.25">
      <c r="A449" t="s">
        <v>3</v>
      </c>
      <c r="B449" s="6">
        <v>45468</v>
      </c>
      <c r="C449" t="s">
        <v>179</v>
      </c>
      <c r="D449" t="s">
        <v>73</v>
      </c>
      <c r="E449">
        <v>84721</v>
      </c>
      <c r="F449">
        <v>180.79</v>
      </c>
    </row>
    <row r="450" spans="1:6" x14ac:dyDescent="0.25">
      <c r="A450" t="s">
        <v>3</v>
      </c>
      <c r="B450" s="6">
        <v>45468</v>
      </c>
      <c r="C450" t="s">
        <v>179</v>
      </c>
      <c r="D450" t="s">
        <v>10</v>
      </c>
      <c r="E450">
        <v>91849</v>
      </c>
      <c r="F450">
        <v>0</v>
      </c>
    </row>
    <row r="451" spans="1:6" x14ac:dyDescent="0.25">
      <c r="A451" t="s">
        <v>3</v>
      </c>
      <c r="B451" s="6">
        <v>45468</v>
      </c>
      <c r="C451" t="s">
        <v>179</v>
      </c>
      <c r="D451" t="s">
        <v>73</v>
      </c>
      <c r="E451">
        <v>20624</v>
      </c>
      <c r="F451">
        <v>180.79</v>
      </c>
    </row>
    <row r="452" spans="1:6" x14ac:dyDescent="0.25">
      <c r="A452" t="s">
        <v>3</v>
      </c>
      <c r="B452" s="6">
        <v>45468</v>
      </c>
      <c r="C452" t="s">
        <v>179</v>
      </c>
      <c r="D452" t="s">
        <v>10</v>
      </c>
      <c r="E452">
        <v>25829</v>
      </c>
      <c r="F452">
        <v>0</v>
      </c>
    </row>
    <row r="453" spans="1:6" x14ac:dyDescent="0.25">
      <c r="A453" t="s">
        <v>3</v>
      </c>
      <c r="B453" s="6">
        <v>45468</v>
      </c>
      <c r="C453" t="s">
        <v>179</v>
      </c>
      <c r="D453" t="s">
        <v>10</v>
      </c>
      <c r="E453">
        <v>44963</v>
      </c>
      <c r="F453">
        <v>0</v>
      </c>
    </row>
    <row r="454" spans="1:6" x14ac:dyDescent="0.25">
      <c r="A454" t="s">
        <v>3</v>
      </c>
      <c r="B454" s="6">
        <v>45468</v>
      </c>
      <c r="C454" t="s">
        <v>184</v>
      </c>
      <c r="D454" t="s">
        <v>73</v>
      </c>
      <c r="E454">
        <v>120886</v>
      </c>
      <c r="F454">
        <v>180.79</v>
      </c>
    </row>
    <row r="455" spans="1:6" x14ac:dyDescent="0.25">
      <c r="A455" t="s">
        <v>3</v>
      </c>
      <c r="B455" s="6">
        <v>45468</v>
      </c>
      <c r="C455" t="s">
        <v>184</v>
      </c>
      <c r="D455" t="s">
        <v>10</v>
      </c>
      <c r="E455">
        <v>133091</v>
      </c>
      <c r="F455">
        <v>0</v>
      </c>
    </row>
    <row r="456" spans="1:6" x14ac:dyDescent="0.25">
      <c r="A456" t="s">
        <v>3</v>
      </c>
      <c r="B456" s="6">
        <v>45468</v>
      </c>
      <c r="C456" t="s">
        <v>184</v>
      </c>
      <c r="D456" t="s">
        <v>73</v>
      </c>
      <c r="E456">
        <v>108255</v>
      </c>
      <c r="F456">
        <v>180.79</v>
      </c>
    </row>
    <row r="457" spans="1:6" x14ac:dyDescent="0.25">
      <c r="A457" t="s">
        <v>3</v>
      </c>
      <c r="B457" s="6">
        <v>45468</v>
      </c>
      <c r="C457" t="s">
        <v>184</v>
      </c>
      <c r="D457" t="s">
        <v>10</v>
      </c>
      <c r="E457">
        <v>117363</v>
      </c>
      <c r="F457">
        <v>0</v>
      </c>
    </row>
    <row r="458" spans="1:6" x14ac:dyDescent="0.25">
      <c r="A458" t="s">
        <v>3</v>
      </c>
      <c r="B458" s="6">
        <v>45468</v>
      </c>
      <c r="C458" t="s">
        <v>184</v>
      </c>
      <c r="D458" t="s">
        <v>73</v>
      </c>
      <c r="E458">
        <v>26349</v>
      </c>
      <c r="F458">
        <v>180.79</v>
      </c>
    </row>
    <row r="459" spans="1:6" x14ac:dyDescent="0.25">
      <c r="A459" t="s">
        <v>3</v>
      </c>
      <c r="B459" s="6">
        <v>45468</v>
      </c>
      <c r="C459" t="s">
        <v>184</v>
      </c>
      <c r="D459" t="s">
        <v>10</v>
      </c>
      <c r="E459">
        <v>33000</v>
      </c>
      <c r="F459">
        <v>0</v>
      </c>
    </row>
    <row r="460" spans="1:6" x14ac:dyDescent="0.25">
      <c r="A460" t="s">
        <v>3</v>
      </c>
      <c r="B460" s="6">
        <v>45468</v>
      </c>
      <c r="C460" t="s">
        <v>184</v>
      </c>
      <c r="D460" t="s">
        <v>10</v>
      </c>
      <c r="E460">
        <v>600676</v>
      </c>
      <c r="F460">
        <v>0</v>
      </c>
    </row>
    <row r="461" spans="1:6" x14ac:dyDescent="0.25">
      <c r="A461" t="s">
        <v>3</v>
      </c>
      <c r="B461" s="6">
        <v>45468</v>
      </c>
      <c r="C461" t="s">
        <v>185</v>
      </c>
      <c r="D461" t="s">
        <v>73</v>
      </c>
      <c r="E461">
        <v>446786</v>
      </c>
      <c r="F461">
        <v>180.79</v>
      </c>
    </row>
    <row r="462" spans="1:6" x14ac:dyDescent="0.25">
      <c r="A462" t="s">
        <v>3</v>
      </c>
      <c r="B462" s="6">
        <v>45468</v>
      </c>
      <c r="C462" t="s">
        <v>185</v>
      </c>
      <c r="D462" t="s">
        <v>10</v>
      </c>
      <c r="E462">
        <v>484376</v>
      </c>
      <c r="F462">
        <v>0</v>
      </c>
    </row>
    <row r="463" spans="1:6" x14ac:dyDescent="0.25">
      <c r="A463" t="s">
        <v>3</v>
      </c>
      <c r="B463" s="6">
        <v>45468</v>
      </c>
      <c r="C463" t="s">
        <v>185</v>
      </c>
      <c r="D463" t="s">
        <v>10</v>
      </c>
      <c r="E463">
        <v>2249885</v>
      </c>
      <c r="F463">
        <v>0</v>
      </c>
    </row>
    <row r="464" spans="1:6" x14ac:dyDescent="0.25">
      <c r="A464" t="s">
        <v>3</v>
      </c>
      <c r="B464" s="6">
        <v>45463</v>
      </c>
      <c r="C464" t="s">
        <v>185</v>
      </c>
      <c r="D464" t="s">
        <v>180</v>
      </c>
      <c r="E464">
        <v>2213011</v>
      </c>
      <c r="F464">
        <v>177.7533</v>
      </c>
    </row>
    <row r="465" spans="1:6" x14ac:dyDescent="0.25">
      <c r="A465" t="s">
        <v>3</v>
      </c>
      <c r="B465" s="6">
        <v>45463</v>
      </c>
      <c r="C465" t="s">
        <v>185</v>
      </c>
      <c r="D465" t="s">
        <v>180</v>
      </c>
      <c r="E465">
        <v>2220415</v>
      </c>
      <c r="F465">
        <v>177.2253</v>
      </c>
    </row>
    <row r="466" spans="1:6" x14ac:dyDescent="0.25">
      <c r="A466" t="s">
        <v>3</v>
      </c>
      <c r="B466" s="6">
        <v>45460</v>
      </c>
      <c r="C466" t="s">
        <v>192</v>
      </c>
      <c r="D466" t="s">
        <v>8</v>
      </c>
      <c r="E466">
        <v>4785</v>
      </c>
      <c r="F466">
        <v>0</v>
      </c>
    </row>
    <row r="467" spans="1:6" x14ac:dyDescent="0.25">
      <c r="A467" t="s">
        <v>3</v>
      </c>
      <c r="B467" s="6">
        <v>45460</v>
      </c>
      <c r="C467" t="s">
        <v>192</v>
      </c>
      <c r="D467" t="s">
        <v>8</v>
      </c>
      <c r="E467">
        <v>2192</v>
      </c>
      <c r="F467">
        <v>0</v>
      </c>
    </row>
    <row r="468" spans="1:6" x14ac:dyDescent="0.25">
      <c r="A468" t="s">
        <v>3</v>
      </c>
      <c r="B468" s="6">
        <v>45460</v>
      </c>
      <c r="C468" t="s">
        <v>186</v>
      </c>
      <c r="D468" t="s">
        <v>8</v>
      </c>
      <c r="E468">
        <v>2192</v>
      </c>
      <c r="F468">
        <v>0</v>
      </c>
    </row>
    <row r="469" spans="1:6" x14ac:dyDescent="0.25">
      <c r="A469" t="s">
        <v>3</v>
      </c>
      <c r="B469" s="6">
        <v>45460</v>
      </c>
      <c r="C469" t="s">
        <v>186</v>
      </c>
      <c r="D469" t="s">
        <v>8</v>
      </c>
      <c r="E469">
        <v>1642</v>
      </c>
      <c r="F469">
        <v>0</v>
      </c>
    </row>
    <row r="470" spans="1:6" x14ac:dyDescent="0.25">
      <c r="A470" t="s">
        <v>3</v>
      </c>
      <c r="B470" s="6">
        <v>45460</v>
      </c>
      <c r="C470" t="s">
        <v>186</v>
      </c>
      <c r="D470" t="s">
        <v>8</v>
      </c>
      <c r="E470">
        <v>761</v>
      </c>
      <c r="F470">
        <v>0</v>
      </c>
    </row>
    <row r="471" spans="1:6" x14ac:dyDescent="0.25">
      <c r="A471" t="s">
        <v>3</v>
      </c>
      <c r="B471" s="6">
        <v>45460</v>
      </c>
      <c r="C471" t="s">
        <v>188</v>
      </c>
      <c r="D471" t="s">
        <v>8</v>
      </c>
      <c r="E471">
        <v>2192</v>
      </c>
      <c r="F471">
        <v>0</v>
      </c>
    </row>
    <row r="472" spans="1:6" x14ac:dyDescent="0.25">
      <c r="A472" t="s">
        <v>3</v>
      </c>
      <c r="B472" s="6">
        <v>45460</v>
      </c>
      <c r="C472" t="s">
        <v>188</v>
      </c>
      <c r="D472" t="s">
        <v>8</v>
      </c>
      <c r="E472">
        <v>1642</v>
      </c>
      <c r="F472">
        <v>0</v>
      </c>
    </row>
    <row r="473" spans="1:6" x14ac:dyDescent="0.25">
      <c r="A473" t="s">
        <v>3</v>
      </c>
      <c r="B473" s="6">
        <v>45460</v>
      </c>
      <c r="C473" t="s">
        <v>188</v>
      </c>
      <c r="D473" t="s">
        <v>8</v>
      </c>
      <c r="E473">
        <v>761</v>
      </c>
      <c r="F473">
        <v>0</v>
      </c>
    </row>
    <row r="474" spans="1:6" x14ac:dyDescent="0.25">
      <c r="A474" t="s">
        <v>3</v>
      </c>
      <c r="B474" s="6">
        <v>45460</v>
      </c>
      <c r="C474" t="s">
        <v>187</v>
      </c>
      <c r="D474" t="s">
        <v>8</v>
      </c>
      <c r="E474">
        <v>2192</v>
      </c>
      <c r="F474">
        <v>0</v>
      </c>
    </row>
    <row r="475" spans="1:6" x14ac:dyDescent="0.25">
      <c r="A475" t="s">
        <v>3</v>
      </c>
      <c r="B475" s="6">
        <v>45460</v>
      </c>
      <c r="C475" t="s">
        <v>187</v>
      </c>
      <c r="D475" t="s">
        <v>8</v>
      </c>
      <c r="E475">
        <v>1642</v>
      </c>
      <c r="F475">
        <v>0</v>
      </c>
    </row>
    <row r="476" spans="1:6" x14ac:dyDescent="0.25">
      <c r="A476" t="s">
        <v>3</v>
      </c>
      <c r="B476" s="6">
        <v>45460</v>
      </c>
      <c r="C476" t="s">
        <v>187</v>
      </c>
      <c r="D476" t="s">
        <v>8</v>
      </c>
      <c r="E476">
        <v>761</v>
      </c>
      <c r="F476">
        <v>0</v>
      </c>
    </row>
    <row r="477" spans="1:6" x14ac:dyDescent="0.25">
      <c r="A477" t="s">
        <v>3</v>
      </c>
      <c r="B477" s="6">
        <v>45460</v>
      </c>
      <c r="C477" t="s">
        <v>189</v>
      </c>
      <c r="D477" t="s">
        <v>8</v>
      </c>
      <c r="E477">
        <v>2192</v>
      </c>
      <c r="F477">
        <v>0</v>
      </c>
    </row>
    <row r="478" spans="1:6" x14ac:dyDescent="0.25">
      <c r="A478" t="s">
        <v>3</v>
      </c>
      <c r="B478" s="6">
        <v>45460</v>
      </c>
      <c r="C478" t="s">
        <v>189</v>
      </c>
      <c r="D478" t="s">
        <v>8</v>
      </c>
      <c r="E478">
        <v>1642</v>
      </c>
      <c r="F478">
        <v>0</v>
      </c>
    </row>
    <row r="479" spans="1:6" x14ac:dyDescent="0.25">
      <c r="A479" t="s">
        <v>3</v>
      </c>
      <c r="B479" s="6">
        <v>45460</v>
      </c>
      <c r="C479" t="s">
        <v>189</v>
      </c>
      <c r="D479" t="s">
        <v>8</v>
      </c>
      <c r="E479">
        <v>761</v>
      </c>
      <c r="F479">
        <v>0</v>
      </c>
    </row>
    <row r="480" spans="1:6" x14ac:dyDescent="0.25">
      <c r="A480" t="s">
        <v>3</v>
      </c>
      <c r="B480" s="6">
        <v>45460</v>
      </c>
      <c r="C480" t="s">
        <v>190</v>
      </c>
      <c r="D480" t="s">
        <v>8</v>
      </c>
      <c r="E480">
        <v>3133</v>
      </c>
      <c r="F480">
        <v>0</v>
      </c>
    </row>
    <row r="481" spans="1:6" x14ac:dyDescent="0.25">
      <c r="A481" t="s">
        <v>3</v>
      </c>
      <c r="B481" s="6">
        <v>45460</v>
      </c>
      <c r="C481" t="s">
        <v>190</v>
      </c>
      <c r="D481" t="s">
        <v>8</v>
      </c>
      <c r="E481">
        <v>2323</v>
      </c>
      <c r="F481">
        <v>0</v>
      </c>
    </row>
    <row r="482" spans="1:6" x14ac:dyDescent="0.25">
      <c r="A482" t="s">
        <v>3</v>
      </c>
      <c r="B482" s="6">
        <v>45460</v>
      </c>
      <c r="C482" t="s">
        <v>190</v>
      </c>
      <c r="D482" t="s">
        <v>8</v>
      </c>
      <c r="E482">
        <v>1101</v>
      </c>
      <c r="F482">
        <v>0</v>
      </c>
    </row>
    <row r="483" spans="1:6" x14ac:dyDescent="0.25">
      <c r="A483" t="s">
        <v>3</v>
      </c>
      <c r="B483" s="6">
        <v>45460</v>
      </c>
      <c r="C483" t="s">
        <v>191</v>
      </c>
      <c r="D483" t="s">
        <v>8</v>
      </c>
      <c r="E483">
        <v>2192</v>
      </c>
      <c r="F483">
        <v>0</v>
      </c>
    </row>
    <row r="484" spans="1:6" x14ac:dyDescent="0.25">
      <c r="A484" t="s">
        <v>3</v>
      </c>
      <c r="B484" s="6">
        <v>45460</v>
      </c>
      <c r="C484" t="s">
        <v>191</v>
      </c>
      <c r="D484" t="s">
        <v>8</v>
      </c>
      <c r="E484">
        <v>1642</v>
      </c>
      <c r="F484">
        <v>0</v>
      </c>
    </row>
    <row r="485" spans="1:6" x14ac:dyDescent="0.25">
      <c r="A485" t="s">
        <v>3</v>
      </c>
      <c r="B485" s="6">
        <v>45460</v>
      </c>
      <c r="C485" t="s">
        <v>191</v>
      </c>
      <c r="D485" t="s">
        <v>8</v>
      </c>
      <c r="E485">
        <v>761</v>
      </c>
      <c r="F485">
        <v>0</v>
      </c>
    </row>
    <row r="486" spans="1:6" x14ac:dyDescent="0.25">
      <c r="A486" t="s">
        <v>3</v>
      </c>
      <c r="B486" s="6">
        <v>45460</v>
      </c>
      <c r="C486" t="s">
        <v>182</v>
      </c>
      <c r="D486" t="s">
        <v>8</v>
      </c>
      <c r="E486">
        <v>24321</v>
      </c>
      <c r="F486">
        <v>0</v>
      </c>
    </row>
    <row r="487" spans="1:6" x14ac:dyDescent="0.25">
      <c r="A487" t="s">
        <v>3</v>
      </c>
      <c r="B487" s="6">
        <v>45460</v>
      </c>
      <c r="C487" t="s">
        <v>182</v>
      </c>
      <c r="D487" t="s">
        <v>8</v>
      </c>
      <c r="E487">
        <v>24820</v>
      </c>
      <c r="F487">
        <v>0</v>
      </c>
    </row>
    <row r="488" spans="1:6" x14ac:dyDescent="0.25">
      <c r="A488" t="s">
        <v>3</v>
      </c>
      <c r="B488" s="6">
        <v>45460</v>
      </c>
      <c r="C488" t="s">
        <v>194</v>
      </c>
      <c r="D488" t="s">
        <v>8</v>
      </c>
      <c r="E488">
        <v>145063</v>
      </c>
      <c r="F488">
        <v>0</v>
      </c>
    </row>
    <row r="489" spans="1:6" x14ac:dyDescent="0.25">
      <c r="A489" t="s">
        <v>3</v>
      </c>
      <c r="B489" s="6">
        <v>45460</v>
      </c>
      <c r="C489" t="s">
        <v>194</v>
      </c>
      <c r="D489" t="s">
        <v>8</v>
      </c>
      <c r="E489">
        <v>126298</v>
      </c>
      <c r="F489">
        <v>0</v>
      </c>
    </row>
    <row r="490" spans="1:6" x14ac:dyDescent="0.25">
      <c r="A490" t="s">
        <v>3</v>
      </c>
      <c r="B490" s="6">
        <v>45460</v>
      </c>
      <c r="C490" t="s">
        <v>194</v>
      </c>
      <c r="D490" t="s">
        <v>8</v>
      </c>
      <c r="E490">
        <v>39524</v>
      </c>
      <c r="F490">
        <v>0</v>
      </c>
    </row>
    <row r="491" spans="1:6" x14ac:dyDescent="0.25">
      <c r="A491" t="s">
        <v>3</v>
      </c>
      <c r="B491" s="6">
        <v>45460</v>
      </c>
      <c r="C491" t="s">
        <v>183</v>
      </c>
      <c r="D491" t="s">
        <v>8</v>
      </c>
      <c r="E491">
        <v>113528</v>
      </c>
      <c r="F491">
        <v>0</v>
      </c>
    </row>
    <row r="492" spans="1:6" x14ac:dyDescent="0.25">
      <c r="A492" t="s">
        <v>3</v>
      </c>
      <c r="B492" s="6">
        <v>45460</v>
      </c>
      <c r="C492" t="s">
        <v>183</v>
      </c>
      <c r="D492" t="s">
        <v>8</v>
      </c>
      <c r="E492">
        <v>98841</v>
      </c>
      <c r="F492">
        <v>0</v>
      </c>
    </row>
    <row r="493" spans="1:6" x14ac:dyDescent="0.25">
      <c r="A493" t="s">
        <v>3</v>
      </c>
      <c r="B493" s="6">
        <v>45460</v>
      </c>
      <c r="C493" t="s">
        <v>183</v>
      </c>
      <c r="D493" t="s">
        <v>8</v>
      </c>
      <c r="E493">
        <v>30935</v>
      </c>
      <c r="F493">
        <v>0</v>
      </c>
    </row>
    <row r="494" spans="1:6" x14ac:dyDescent="0.25">
      <c r="A494" t="s">
        <v>3</v>
      </c>
      <c r="B494" s="6">
        <v>45460</v>
      </c>
      <c r="C494" t="s">
        <v>179</v>
      </c>
      <c r="D494" t="s">
        <v>8</v>
      </c>
      <c r="E494">
        <v>113528</v>
      </c>
      <c r="F494">
        <v>0</v>
      </c>
    </row>
    <row r="495" spans="1:6" x14ac:dyDescent="0.25">
      <c r="A495" t="s">
        <v>3</v>
      </c>
      <c r="B495" s="6">
        <v>45460</v>
      </c>
      <c r="C495" t="s">
        <v>179</v>
      </c>
      <c r="D495" t="s">
        <v>8</v>
      </c>
      <c r="E495">
        <v>98841</v>
      </c>
      <c r="F495">
        <v>0</v>
      </c>
    </row>
    <row r="496" spans="1:6" x14ac:dyDescent="0.25">
      <c r="A496" t="s">
        <v>3</v>
      </c>
      <c r="B496" s="6">
        <v>45460</v>
      </c>
      <c r="C496" t="s">
        <v>179</v>
      </c>
      <c r="D496" t="s">
        <v>8</v>
      </c>
      <c r="E496">
        <v>30935</v>
      </c>
      <c r="F496">
        <v>0</v>
      </c>
    </row>
    <row r="497" spans="1:6" x14ac:dyDescent="0.25">
      <c r="A497" t="s">
        <v>3</v>
      </c>
      <c r="B497" s="6">
        <v>45460</v>
      </c>
      <c r="C497" t="s">
        <v>184</v>
      </c>
      <c r="D497" t="s">
        <v>8</v>
      </c>
      <c r="E497">
        <v>145063</v>
      </c>
      <c r="F497">
        <v>0</v>
      </c>
    </row>
    <row r="498" spans="1:6" x14ac:dyDescent="0.25">
      <c r="A498" t="s">
        <v>3</v>
      </c>
      <c r="B498" s="6">
        <v>45460</v>
      </c>
      <c r="C498" t="s">
        <v>184</v>
      </c>
      <c r="D498" t="s">
        <v>8</v>
      </c>
      <c r="E498">
        <v>126298</v>
      </c>
      <c r="F498">
        <v>0</v>
      </c>
    </row>
    <row r="499" spans="1:6" x14ac:dyDescent="0.25">
      <c r="A499" t="s">
        <v>3</v>
      </c>
      <c r="B499" s="6">
        <v>45460</v>
      </c>
      <c r="C499" t="s">
        <v>184</v>
      </c>
      <c r="D499" t="s">
        <v>8</v>
      </c>
      <c r="E499">
        <v>39524</v>
      </c>
      <c r="F499">
        <v>0</v>
      </c>
    </row>
    <row r="500" spans="1:6" x14ac:dyDescent="0.25">
      <c r="A500" t="s">
        <v>3</v>
      </c>
      <c r="B500" s="6">
        <v>45460</v>
      </c>
      <c r="C500" t="s">
        <v>185</v>
      </c>
      <c r="D500" t="s">
        <v>8</v>
      </c>
      <c r="E500">
        <v>521250</v>
      </c>
      <c r="F500">
        <v>0</v>
      </c>
    </row>
    <row r="501" spans="1:6" x14ac:dyDescent="0.25">
      <c r="A501" t="s">
        <v>3</v>
      </c>
      <c r="B501" s="6">
        <v>45455</v>
      </c>
      <c r="C501" t="s">
        <v>190</v>
      </c>
      <c r="D501" t="s">
        <v>180</v>
      </c>
      <c r="E501">
        <v>32324</v>
      </c>
      <c r="F501">
        <v>179.19</v>
      </c>
    </row>
    <row r="502" spans="1:6" x14ac:dyDescent="0.25">
      <c r="A502" t="s">
        <v>3</v>
      </c>
      <c r="B502" s="6">
        <v>45455</v>
      </c>
      <c r="C502" t="s">
        <v>190</v>
      </c>
      <c r="D502" t="s">
        <v>180</v>
      </c>
      <c r="E502">
        <v>32335</v>
      </c>
      <c r="F502">
        <v>178.5393</v>
      </c>
    </row>
    <row r="503" spans="1:6" x14ac:dyDescent="0.25">
      <c r="A503" t="s">
        <v>3</v>
      </c>
      <c r="B503" s="6">
        <v>45455</v>
      </c>
      <c r="C503" t="s">
        <v>190</v>
      </c>
      <c r="D503" t="s">
        <v>180</v>
      </c>
      <c r="E503">
        <v>32465</v>
      </c>
      <c r="F503">
        <v>177.37569999999999</v>
      </c>
    </row>
    <row r="504" spans="1:6" x14ac:dyDescent="0.25">
      <c r="A504" t="s">
        <v>3</v>
      </c>
      <c r="B504" s="6">
        <v>45455</v>
      </c>
      <c r="C504" t="s">
        <v>190</v>
      </c>
      <c r="D504" t="s">
        <v>180</v>
      </c>
      <c r="E504">
        <v>32641</v>
      </c>
      <c r="F504">
        <v>176.73310000000001</v>
      </c>
    </row>
    <row r="505" spans="1:6" x14ac:dyDescent="0.25">
      <c r="A505" t="s">
        <v>3</v>
      </c>
      <c r="B505" s="6">
        <v>45455</v>
      </c>
      <c r="C505" t="s">
        <v>190</v>
      </c>
      <c r="D505" t="s">
        <v>180</v>
      </c>
      <c r="E505">
        <v>3727</v>
      </c>
      <c r="F505">
        <v>180.65770000000001</v>
      </c>
    </row>
    <row r="506" spans="1:6" x14ac:dyDescent="0.25">
      <c r="A506" t="s">
        <v>3</v>
      </c>
      <c r="B506" s="6">
        <v>45455</v>
      </c>
      <c r="C506" t="s">
        <v>190</v>
      </c>
      <c r="D506" t="s">
        <v>180</v>
      </c>
      <c r="E506">
        <v>3780</v>
      </c>
      <c r="F506">
        <v>179.36240000000001</v>
      </c>
    </row>
    <row r="507" spans="1:6" x14ac:dyDescent="0.25">
      <c r="A507" t="s">
        <v>3</v>
      </c>
      <c r="B507" s="6">
        <v>45455</v>
      </c>
      <c r="C507" t="s">
        <v>190</v>
      </c>
      <c r="D507" t="s">
        <v>180</v>
      </c>
      <c r="E507">
        <v>3935</v>
      </c>
      <c r="F507">
        <v>178.51400000000001</v>
      </c>
    </row>
    <row r="508" spans="1:6" x14ac:dyDescent="0.25">
      <c r="A508" t="s">
        <v>3</v>
      </c>
      <c r="B508" s="6">
        <v>45455</v>
      </c>
      <c r="C508" t="s">
        <v>190</v>
      </c>
      <c r="D508" t="s">
        <v>180</v>
      </c>
      <c r="E508">
        <v>4359</v>
      </c>
      <c r="F508">
        <v>177.97</v>
      </c>
    </row>
    <row r="509" spans="1:6" x14ac:dyDescent="0.25">
      <c r="A509" t="s">
        <v>3</v>
      </c>
      <c r="B509" s="6">
        <v>45448</v>
      </c>
      <c r="C509" t="s">
        <v>185</v>
      </c>
      <c r="D509" t="s">
        <v>180</v>
      </c>
      <c r="E509">
        <v>2235511</v>
      </c>
      <c r="F509">
        <v>177.52420000000001</v>
      </c>
    </row>
    <row r="510" spans="1:6" x14ac:dyDescent="0.25">
      <c r="A510" t="s">
        <v>3</v>
      </c>
      <c r="B510" s="6">
        <v>45448</v>
      </c>
      <c r="C510" t="s">
        <v>185</v>
      </c>
      <c r="D510" t="s">
        <v>180</v>
      </c>
      <c r="E510">
        <v>2238587</v>
      </c>
      <c r="F510">
        <v>176.74889999999999</v>
      </c>
    </row>
    <row r="511" spans="1:6" x14ac:dyDescent="0.25">
      <c r="A511" t="s">
        <v>3</v>
      </c>
      <c r="B511" s="6">
        <v>45448</v>
      </c>
      <c r="C511" t="s">
        <v>185</v>
      </c>
      <c r="D511" t="s">
        <v>180</v>
      </c>
      <c r="E511">
        <v>2249910</v>
      </c>
      <c r="F511">
        <v>175.99430000000001</v>
      </c>
    </row>
    <row r="512" spans="1:6" x14ac:dyDescent="0.25">
      <c r="A512" t="s">
        <v>3</v>
      </c>
      <c r="B512" s="6">
        <v>45446</v>
      </c>
      <c r="C512" t="s">
        <v>182</v>
      </c>
      <c r="D512" t="s">
        <v>180</v>
      </c>
      <c r="E512">
        <v>29966</v>
      </c>
      <c r="F512">
        <v>173.86</v>
      </c>
    </row>
    <row r="513" spans="1:6" x14ac:dyDescent="0.25">
      <c r="A513" t="s">
        <v>3</v>
      </c>
      <c r="B513" s="6">
        <v>45442</v>
      </c>
      <c r="C513" t="s">
        <v>193</v>
      </c>
      <c r="D513" t="s">
        <v>10</v>
      </c>
      <c r="E513">
        <v>362744028</v>
      </c>
      <c r="F513">
        <v>0</v>
      </c>
    </row>
    <row r="514" spans="1:6" x14ac:dyDescent="0.25">
      <c r="A514" t="s">
        <v>3</v>
      </c>
      <c r="B514" s="6">
        <v>45442</v>
      </c>
      <c r="C514" t="s">
        <v>193</v>
      </c>
      <c r="D514" t="s">
        <v>74</v>
      </c>
      <c r="E514">
        <v>363945408</v>
      </c>
      <c r="F514">
        <v>0</v>
      </c>
    </row>
    <row r="515" spans="1:6" x14ac:dyDescent="0.25">
      <c r="A515" t="s">
        <v>3</v>
      </c>
      <c r="B515" s="6">
        <v>45442</v>
      </c>
      <c r="C515" t="s">
        <v>193</v>
      </c>
      <c r="D515" t="s">
        <v>74</v>
      </c>
      <c r="E515">
        <v>0</v>
      </c>
      <c r="F515">
        <v>0</v>
      </c>
    </row>
    <row r="516" spans="1:6" x14ac:dyDescent="0.25">
      <c r="A516" t="s">
        <v>3</v>
      </c>
      <c r="B516" s="6">
        <v>45442</v>
      </c>
      <c r="C516" t="s">
        <v>193</v>
      </c>
      <c r="D516" t="s">
        <v>10</v>
      </c>
      <c r="E516">
        <v>384600</v>
      </c>
      <c r="F516">
        <v>0</v>
      </c>
    </row>
    <row r="517" spans="1:6" x14ac:dyDescent="0.25">
      <c r="A517" t="s">
        <v>3</v>
      </c>
      <c r="B517" s="6">
        <v>45437</v>
      </c>
      <c r="C517" t="s">
        <v>182</v>
      </c>
      <c r="D517" t="s">
        <v>73</v>
      </c>
      <c r="E517">
        <v>24792</v>
      </c>
      <c r="F517">
        <v>176.33</v>
      </c>
    </row>
    <row r="518" spans="1:6" x14ac:dyDescent="0.25">
      <c r="A518" t="s">
        <v>3</v>
      </c>
      <c r="B518" s="6">
        <v>45437</v>
      </c>
      <c r="C518" t="s">
        <v>182</v>
      </c>
      <c r="D518" t="s">
        <v>10</v>
      </c>
      <c r="E518">
        <v>26182</v>
      </c>
      <c r="F518">
        <v>0</v>
      </c>
    </row>
    <row r="519" spans="1:6" x14ac:dyDescent="0.25">
      <c r="A519" t="s">
        <v>3</v>
      </c>
      <c r="B519" s="6">
        <v>45437</v>
      </c>
      <c r="C519" t="s">
        <v>182</v>
      </c>
      <c r="D519" t="s">
        <v>10</v>
      </c>
      <c r="E519">
        <v>30648</v>
      </c>
      <c r="F519">
        <v>0</v>
      </c>
    </row>
    <row r="520" spans="1:6" x14ac:dyDescent="0.25">
      <c r="A520" t="s">
        <v>3</v>
      </c>
      <c r="B520" s="6">
        <v>45427</v>
      </c>
      <c r="C520" t="s">
        <v>185</v>
      </c>
      <c r="D520" t="s">
        <v>180</v>
      </c>
      <c r="E520">
        <v>2258011</v>
      </c>
      <c r="F520">
        <v>173.57249999999999</v>
      </c>
    </row>
    <row r="521" spans="1:6" x14ac:dyDescent="0.25">
      <c r="A521" t="s">
        <v>3</v>
      </c>
      <c r="B521" s="6">
        <v>45427</v>
      </c>
      <c r="C521" t="s">
        <v>185</v>
      </c>
      <c r="D521" t="s">
        <v>180</v>
      </c>
      <c r="E521">
        <v>2270507</v>
      </c>
      <c r="F521">
        <v>172.78440000000001</v>
      </c>
    </row>
    <row r="522" spans="1:6" x14ac:dyDescent="0.25">
      <c r="A522" t="s">
        <v>3</v>
      </c>
      <c r="B522" s="6">
        <v>45425</v>
      </c>
      <c r="C522" t="s">
        <v>190</v>
      </c>
      <c r="D522" t="s">
        <v>180</v>
      </c>
      <c r="E522">
        <v>4391</v>
      </c>
      <c r="F522">
        <v>169.4974</v>
      </c>
    </row>
    <row r="523" spans="1:6" x14ac:dyDescent="0.25">
      <c r="A523" t="s">
        <v>3</v>
      </c>
      <c r="B523" s="6">
        <v>45425</v>
      </c>
      <c r="C523" t="s">
        <v>190</v>
      </c>
      <c r="D523" t="s">
        <v>180</v>
      </c>
      <c r="E523">
        <v>4864</v>
      </c>
      <c r="F523">
        <v>170.03</v>
      </c>
    </row>
    <row r="524" spans="1:6" x14ac:dyDescent="0.25">
      <c r="A524" t="s">
        <v>3</v>
      </c>
      <c r="B524" s="6">
        <v>45425</v>
      </c>
      <c r="C524" t="s">
        <v>190</v>
      </c>
      <c r="D524" t="s">
        <v>180</v>
      </c>
      <c r="E524">
        <v>4869</v>
      </c>
      <c r="F524">
        <v>167.65350000000001</v>
      </c>
    </row>
    <row r="525" spans="1:6" x14ac:dyDescent="0.25">
      <c r="A525" t="s">
        <v>3</v>
      </c>
      <c r="B525" s="6">
        <v>45425</v>
      </c>
      <c r="C525" t="s">
        <v>190</v>
      </c>
      <c r="D525" t="s">
        <v>180</v>
      </c>
      <c r="E525">
        <v>5529</v>
      </c>
      <c r="F525">
        <v>168.1241</v>
      </c>
    </row>
    <row r="526" spans="1:6" x14ac:dyDescent="0.25">
      <c r="A526" t="s">
        <v>3</v>
      </c>
      <c r="B526" s="6">
        <v>45425</v>
      </c>
      <c r="C526" t="s">
        <v>190</v>
      </c>
      <c r="D526" t="s">
        <v>180</v>
      </c>
      <c r="E526">
        <v>5608</v>
      </c>
      <c r="F526">
        <v>166.67949999999999</v>
      </c>
    </row>
    <row r="527" spans="1:6" x14ac:dyDescent="0.25">
      <c r="A527" t="s">
        <v>3</v>
      </c>
      <c r="B527" s="6">
        <v>45425</v>
      </c>
      <c r="C527" t="s">
        <v>190</v>
      </c>
      <c r="D527" t="s">
        <v>180</v>
      </c>
      <c r="E527">
        <v>5888</v>
      </c>
      <c r="F527">
        <v>165.9</v>
      </c>
    </row>
    <row r="528" spans="1:6" x14ac:dyDescent="0.25">
      <c r="A528" t="s">
        <v>3</v>
      </c>
      <c r="B528" s="6">
        <v>45419</v>
      </c>
      <c r="C528" t="s">
        <v>183</v>
      </c>
      <c r="D528" t="s">
        <v>74</v>
      </c>
      <c r="E528">
        <v>1790659</v>
      </c>
      <c r="F528">
        <v>0</v>
      </c>
    </row>
    <row r="529" spans="1:6" x14ac:dyDescent="0.25">
      <c r="A529" t="s">
        <v>3</v>
      </c>
      <c r="B529" s="6">
        <v>45415</v>
      </c>
      <c r="C529" t="s">
        <v>194</v>
      </c>
      <c r="D529" t="s">
        <v>74</v>
      </c>
      <c r="E529">
        <v>322299</v>
      </c>
      <c r="F529">
        <v>0</v>
      </c>
    </row>
    <row r="530" spans="1:6" x14ac:dyDescent="0.25">
      <c r="A530" t="s">
        <v>3</v>
      </c>
      <c r="B530" s="6">
        <v>45414</v>
      </c>
      <c r="C530" t="s">
        <v>182</v>
      </c>
      <c r="D530" t="s">
        <v>180</v>
      </c>
      <c r="E530">
        <v>29284</v>
      </c>
      <c r="F530">
        <v>166.67</v>
      </c>
    </row>
    <row r="531" spans="1:6" x14ac:dyDescent="0.25">
      <c r="A531" t="s">
        <v>3</v>
      </c>
      <c r="B531" s="6">
        <v>45413</v>
      </c>
      <c r="C531" t="s">
        <v>184</v>
      </c>
      <c r="D531" t="s">
        <v>8</v>
      </c>
      <c r="E531">
        <v>144901</v>
      </c>
      <c r="F531">
        <v>0</v>
      </c>
    </row>
    <row r="532" spans="1:6" x14ac:dyDescent="0.25">
      <c r="A532" t="s">
        <v>3</v>
      </c>
      <c r="B532" s="6">
        <v>45413</v>
      </c>
      <c r="C532" t="s">
        <v>194</v>
      </c>
      <c r="D532" t="s">
        <v>8</v>
      </c>
      <c r="E532">
        <v>144901</v>
      </c>
      <c r="F532">
        <v>0</v>
      </c>
    </row>
    <row r="533" spans="1:6" x14ac:dyDescent="0.25">
      <c r="A533" t="s">
        <v>3</v>
      </c>
      <c r="B533" s="6">
        <v>45413</v>
      </c>
      <c r="C533" t="s">
        <v>183</v>
      </c>
      <c r="D533" t="s">
        <v>8</v>
      </c>
      <c r="E533">
        <v>113401</v>
      </c>
      <c r="F533">
        <v>0</v>
      </c>
    </row>
    <row r="534" spans="1:6" x14ac:dyDescent="0.25">
      <c r="A534" t="s">
        <v>3</v>
      </c>
      <c r="B534" s="6">
        <v>45413</v>
      </c>
      <c r="C534" t="s">
        <v>179</v>
      </c>
      <c r="D534" t="s">
        <v>8</v>
      </c>
      <c r="E534">
        <v>113401</v>
      </c>
      <c r="F534">
        <v>0</v>
      </c>
    </row>
    <row r="535" spans="1:6" x14ac:dyDescent="0.25">
      <c r="A535" t="s">
        <v>3</v>
      </c>
      <c r="B535" s="6">
        <v>45413</v>
      </c>
      <c r="C535" t="s">
        <v>185</v>
      </c>
      <c r="D535" t="s">
        <v>180</v>
      </c>
      <c r="E535">
        <v>2280511</v>
      </c>
      <c r="F535">
        <v>168.30959999999999</v>
      </c>
    </row>
    <row r="536" spans="1:6" x14ac:dyDescent="0.25">
      <c r="A536" t="s">
        <v>3</v>
      </c>
      <c r="B536" s="6">
        <v>45413</v>
      </c>
      <c r="C536" t="s">
        <v>185</v>
      </c>
      <c r="D536" t="s">
        <v>180</v>
      </c>
      <c r="E536">
        <v>2282501</v>
      </c>
      <c r="F536">
        <v>167.3974</v>
      </c>
    </row>
    <row r="537" spans="1:6" x14ac:dyDescent="0.25">
      <c r="A537" t="s">
        <v>3</v>
      </c>
      <c r="B537" s="6">
        <v>45413</v>
      </c>
      <c r="C537" t="s">
        <v>185</v>
      </c>
      <c r="D537" t="s">
        <v>180</v>
      </c>
      <c r="E537">
        <v>2289101</v>
      </c>
      <c r="F537">
        <v>166.64699999999999</v>
      </c>
    </row>
    <row r="538" spans="1:6" x14ac:dyDescent="0.25">
      <c r="A538" t="s">
        <v>3</v>
      </c>
      <c r="B538" s="6">
        <v>45413</v>
      </c>
      <c r="C538" t="s">
        <v>185</v>
      </c>
      <c r="D538" t="s">
        <v>180</v>
      </c>
      <c r="E538">
        <v>2298177</v>
      </c>
      <c r="F538">
        <v>165.6711</v>
      </c>
    </row>
    <row r="539" spans="1:6" x14ac:dyDescent="0.25">
      <c r="A539" t="s">
        <v>3</v>
      </c>
      <c r="B539" s="6">
        <v>45412</v>
      </c>
      <c r="C539" t="s">
        <v>186</v>
      </c>
      <c r="D539" t="s">
        <v>180</v>
      </c>
      <c r="E539">
        <v>15551</v>
      </c>
      <c r="F539">
        <v>167.38</v>
      </c>
    </row>
    <row r="540" spans="1:6" x14ac:dyDescent="0.25">
      <c r="A540" t="s">
        <v>3</v>
      </c>
      <c r="B540" s="6">
        <v>45408</v>
      </c>
      <c r="C540" t="s">
        <v>190</v>
      </c>
      <c r="D540" t="s">
        <v>180</v>
      </c>
      <c r="E540">
        <v>5891</v>
      </c>
      <c r="F540">
        <v>175.76</v>
      </c>
    </row>
    <row r="541" spans="1:6" x14ac:dyDescent="0.25">
      <c r="A541" t="s">
        <v>3</v>
      </c>
      <c r="B541" s="6">
        <v>45407</v>
      </c>
      <c r="C541" t="s">
        <v>182</v>
      </c>
      <c r="D541" t="s">
        <v>10</v>
      </c>
      <c r="E541">
        <v>27546</v>
      </c>
      <c r="F541">
        <v>0</v>
      </c>
    </row>
    <row r="542" spans="1:6" x14ac:dyDescent="0.25">
      <c r="A542" t="s">
        <v>3</v>
      </c>
      <c r="B542" s="6">
        <v>45407</v>
      </c>
      <c r="C542" t="s">
        <v>182</v>
      </c>
      <c r="D542" t="s">
        <v>73</v>
      </c>
      <c r="E542">
        <v>28910</v>
      </c>
      <c r="F542">
        <v>161.1</v>
      </c>
    </row>
    <row r="543" spans="1:6" x14ac:dyDescent="0.25">
      <c r="A543" t="s">
        <v>3</v>
      </c>
      <c r="B543" s="6">
        <v>45407</v>
      </c>
      <c r="C543" t="s">
        <v>182</v>
      </c>
      <c r="D543" t="s">
        <v>10</v>
      </c>
      <c r="E543">
        <v>30648</v>
      </c>
      <c r="F543">
        <v>0</v>
      </c>
    </row>
    <row r="544" spans="1:6" x14ac:dyDescent="0.25">
      <c r="A544" t="s">
        <v>3</v>
      </c>
      <c r="B544" s="6">
        <v>45399</v>
      </c>
      <c r="C544" t="s">
        <v>185</v>
      </c>
      <c r="D544" t="s">
        <v>180</v>
      </c>
      <c r="E544">
        <v>2303011</v>
      </c>
      <c r="F544">
        <v>157.4117</v>
      </c>
    </row>
    <row r="545" spans="1:6" x14ac:dyDescent="0.25">
      <c r="A545" t="s">
        <v>3</v>
      </c>
      <c r="B545" s="6">
        <v>45394</v>
      </c>
      <c r="C545" t="s">
        <v>190</v>
      </c>
      <c r="D545" t="s">
        <v>180</v>
      </c>
      <c r="E545">
        <v>7991</v>
      </c>
      <c r="F545">
        <v>161.16409999999999</v>
      </c>
    </row>
    <row r="546" spans="1:6" x14ac:dyDescent="0.25">
      <c r="A546" t="s">
        <v>3</v>
      </c>
      <c r="B546" s="6">
        <v>45394</v>
      </c>
      <c r="C546" t="s">
        <v>190</v>
      </c>
      <c r="D546" t="s">
        <v>180</v>
      </c>
      <c r="E546">
        <v>8059</v>
      </c>
      <c r="F546">
        <v>160.45150000000001</v>
      </c>
    </row>
    <row r="547" spans="1:6" x14ac:dyDescent="0.25">
      <c r="A547" t="s">
        <v>3</v>
      </c>
      <c r="B547" s="6">
        <v>45394</v>
      </c>
      <c r="C547" t="s">
        <v>190</v>
      </c>
      <c r="D547" t="s">
        <v>180</v>
      </c>
      <c r="E547">
        <v>8153</v>
      </c>
      <c r="F547">
        <v>159.52940000000001</v>
      </c>
    </row>
    <row r="548" spans="1:6" x14ac:dyDescent="0.25">
      <c r="A548" t="s">
        <v>3</v>
      </c>
      <c r="B548" s="6">
        <v>45394</v>
      </c>
      <c r="C548" t="s">
        <v>190</v>
      </c>
      <c r="D548" t="s">
        <v>180</v>
      </c>
      <c r="E548">
        <v>8546</v>
      </c>
      <c r="F548">
        <v>158.82310000000001</v>
      </c>
    </row>
    <row r="549" spans="1:6" x14ac:dyDescent="0.25">
      <c r="A549" t="s">
        <v>3</v>
      </c>
      <c r="B549" s="6">
        <v>45385</v>
      </c>
      <c r="C549" t="s">
        <v>185</v>
      </c>
      <c r="D549" t="s">
        <v>180</v>
      </c>
      <c r="E549">
        <v>2325513</v>
      </c>
      <c r="F549">
        <v>156.41300000000001</v>
      </c>
    </row>
    <row r="550" spans="1:6" x14ac:dyDescent="0.25">
      <c r="A550" t="s">
        <v>3</v>
      </c>
      <c r="B550" s="6">
        <v>45385</v>
      </c>
      <c r="C550" t="s">
        <v>185</v>
      </c>
      <c r="D550" t="s">
        <v>180</v>
      </c>
      <c r="E550">
        <v>2326821</v>
      </c>
      <c r="F550">
        <v>155.81639999999999</v>
      </c>
    </row>
    <row r="551" spans="1:6" x14ac:dyDescent="0.25">
      <c r="A551" t="s">
        <v>3</v>
      </c>
      <c r="B551" s="6">
        <v>45385</v>
      </c>
      <c r="C551" t="s">
        <v>185</v>
      </c>
      <c r="D551" t="s">
        <v>180</v>
      </c>
      <c r="E551">
        <v>2344173</v>
      </c>
      <c r="F551">
        <v>154.7723</v>
      </c>
    </row>
    <row r="552" spans="1:6" x14ac:dyDescent="0.25">
      <c r="A552" t="s">
        <v>3</v>
      </c>
      <c r="B552" s="6">
        <v>45384</v>
      </c>
      <c r="C552" t="s">
        <v>182</v>
      </c>
      <c r="D552" t="s">
        <v>180</v>
      </c>
      <c r="E552">
        <v>29284</v>
      </c>
      <c r="F552">
        <v>154.79</v>
      </c>
    </row>
    <row r="553" spans="1:6" x14ac:dyDescent="0.25">
      <c r="A553" t="s">
        <v>3</v>
      </c>
      <c r="B553" s="6">
        <v>45383</v>
      </c>
      <c r="C553" t="s">
        <v>194</v>
      </c>
      <c r="D553" t="s">
        <v>74</v>
      </c>
      <c r="E553">
        <v>362299</v>
      </c>
      <c r="F553">
        <v>0</v>
      </c>
    </row>
    <row r="554" spans="1:6" x14ac:dyDescent="0.25">
      <c r="A554" t="s">
        <v>3</v>
      </c>
      <c r="B554" s="6">
        <v>45383</v>
      </c>
      <c r="C554" t="s">
        <v>194</v>
      </c>
      <c r="D554" t="s">
        <v>74</v>
      </c>
      <c r="E554">
        <v>7</v>
      </c>
      <c r="F554">
        <v>0</v>
      </c>
    </row>
    <row r="555" spans="1:6" x14ac:dyDescent="0.25">
      <c r="A555" t="s">
        <v>3</v>
      </c>
      <c r="B555" s="6">
        <v>45383</v>
      </c>
      <c r="C555" t="s">
        <v>194</v>
      </c>
      <c r="D555" t="s">
        <v>180</v>
      </c>
      <c r="E555">
        <v>144685</v>
      </c>
      <c r="F555">
        <v>156.3887</v>
      </c>
    </row>
    <row r="556" spans="1:6" x14ac:dyDescent="0.25">
      <c r="A556" t="s">
        <v>3</v>
      </c>
      <c r="B556" s="6">
        <v>45383</v>
      </c>
      <c r="C556" t="s">
        <v>194</v>
      </c>
      <c r="D556" t="s">
        <v>180</v>
      </c>
      <c r="E556">
        <v>146443</v>
      </c>
      <c r="F556">
        <v>155.9485</v>
      </c>
    </row>
    <row r="557" spans="1:6" x14ac:dyDescent="0.25">
      <c r="A557" t="s">
        <v>3</v>
      </c>
      <c r="B557" s="6">
        <v>45383</v>
      </c>
      <c r="C557" t="s">
        <v>194</v>
      </c>
      <c r="D557" t="s">
        <v>180</v>
      </c>
      <c r="E557">
        <v>147743</v>
      </c>
      <c r="F557">
        <v>152.42500000000001</v>
      </c>
    </row>
    <row r="558" spans="1:6" x14ac:dyDescent="0.25">
      <c r="A558" t="s">
        <v>3</v>
      </c>
      <c r="B558" s="6">
        <v>45383</v>
      </c>
      <c r="C558" t="s">
        <v>179</v>
      </c>
      <c r="D558" t="s">
        <v>74</v>
      </c>
      <c r="E558">
        <v>23495</v>
      </c>
      <c r="F558">
        <v>0</v>
      </c>
    </row>
    <row r="559" spans="1:6" x14ac:dyDescent="0.25">
      <c r="A559" t="s">
        <v>3</v>
      </c>
      <c r="B559" s="6">
        <v>45383</v>
      </c>
      <c r="C559" t="s">
        <v>179</v>
      </c>
      <c r="D559" t="s">
        <v>74</v>
      </c>
      <c r="E559">
        <v>60801</v>
      </c>
      <c r="F559">
        <v>0</v>
      </c>
    </row>
    <row r="560" spans="1:6" x14ac:dyDescent="0.25">
      <c r="A560" t="s">
        <v>98</v>
      </c>
      <c r="B560" s="6">
        <v>45741</v>
      </c>
      <c r="C560" t="s">
        <v>195</v>
      </c>
      <c r="D560" t="s">
        <v>180</v>
      </c>
      <c r="E560">
        <v>31182</v>
      </c>
      <c r="F560">
        <v>627.04999999999995</v>
      </c>
    </row>
    <row r="561" spans="1:6" x14ac:dyDescent="0.25">
      <c r="A561" t="s">
        <v>98</v>
      </c>
      <c r="B561" s="6">
        <v>45740</v>
      </c>
      <c r="C561" t="s">
        <v>196</v>
      </c>
      <c r="D561" t="s">
        <v>180</v>
      </c>
      <c r="E561">
        <v>6838</v>
      </c>
      <c r="F561">
        <v>614.97</v>
      </c>
    </row>
    <row r="562" spans="1:6" x14ac:dyDescent="0.25">
      <c r="A562" t="s">
        <v>98</v>
      </c>
      <c r="B562" s="6">
        <v>45736</v>
      </c>
      <c r="C562" t="s">
        <v>196</v>
      </c>
      <c r="D562" t="s">
        <v>8</v>
      </c>
      <c r="E562">
        <v>31370</v>
      </c>
      <c r="F562">
        <v>0</v>
      </c>
    </row>
    <row r="563" spans="1:6" x14ac:dyDescent="0.25">
      <c r="A563" t="s">
        <v>98</v>
      </c>
      <c r="B563" s="6">
        <v>45736</v>
      </c>
      <c r="C563" t="s">
        <v>197</v>
      </c>
      <c r="D563" t="s">
        <v>8</v>
      </c>
      <c r="E563">
        <v>31370</v>
      </c>
      <c r="F563">
        <v>0</v>
      </c>
    </row>
    <row r="564" spans="1:6" x14ac:dyDescent="0.25">
      <c r="A564" t="s">
        <v>98</v>
      </c>
      <c r="B564" s="6">
        <v>45736</v>
      </c>
      <c r="C564" t="s">
        <v>198</v>
      </c>
      <c r="D564" t="s">
        <v>8</v>
      </c>
      <c r="E564">
        <v>31370</v>
      </c>
      <c r="F564">
        <v>0</v>
      </c>
    </row>
    <row r="565" spans="1:6" x14ac:dyDescent="0.25">
      <c r="A565" t="s">
        <v>98</v>
      </c>
      <c r="B565" s="6">
        <v>45736</v>
      </c>
      <c r="C565" t="s">
        <v>199</v>
      </c>
      <c r="D565" t="s">
        <v>8</v>
      </c>
      <c r="E565">
        <v>5303</v>
      </c>
      <c r="F565">
        <v>0</v>
      </c>
    </row>
    <row r="566" spans="1:6" x14ac:dyDescent="0.25">
      <c r="A566" t="s">
        <v>98</v>
      </c>
      <c r="B566" s="6">
        <v>45736</v>
      </c>
      <c r="C566" t="s">
        <v>195</v>
      </c>
      <c r="D566" t="s">
        <v>8</v>
      </c>
      <c r="E566">
        <v>28518</v>
      </c>
      <c r="F566">
        <v>0</v>
      </c>
    </row>
    <row r="567" spans="1:6" x14ac:dyDescent="0.25">
      <c r="A567" t="s">
        <v>98</v>
      </c>
      <c r="B567" s="6">
        <v>45736</v>
      </c>
      <c r="C567" t="s">
        <v>200</v>
      </c>
      <c r="D567" t="s">
        <v>8</v>
      </c>
      <c r="E567">
        <v>28518</v>
      </c>
      <c r="F567">
        <v>0</v>
      </c>
    </row>
    <row r="568" spans="1:6" x14ac:dyDescent="0.25">
      <c r="A568" t="s">
        <v>98</v>
      </c>
      <c r="B568" s="6">
        <v>45736</v>
      </c>
      <c r="C568" t="s">
        <v>200</v>
      </c>
      <c r="D568" t="s">
        <v>8</v>
      </c>
      <c r="E568">
        <v>28518</v>
      </c>
      <c r="F568">
        <v>0</v>
      </c>
    </row>
    <row r="569" spans="1:6" x14ac:dyDescent="0.25">
      <c r="A569" t="s">
        <v>98</v>
      </c>
      <c r="B569" s="6">
        <v>45734</v>
      </c>
      <c r="C569" t="s">
        <v>195</v>
      </c>
      <c r="D569" t="s">
        <v>180</v>
      </c>
      <c r="E569">
        <v>32103</v>
      </c>
      <c r="F569">
        <v>600.25</v>
      </c>
    </row>
    <row r="570" spans="1:6" x14ac:dyDescent="0.25">
      <c r="A570" t="s">
        <v>98</v>
      </c>
      <c r="B570" s="6">
        <v>45733</v>
      </c>
      <c r="C570" t="s">
        <v>196</v>
      </c>
      <c r="D570" t="s">
        <v>180</v>
      </c>
      <c r="E570">
        <v>7446</v>
      </c>
      <c r="F570">
        <v>607.5</v>
      </c>
    </row>
    <row r="571" spans="1:6" x14ac:dyDescent="0.25">
      <c r="A571" t="s">
        <v>98</v>
      </c>
      <c r="B571" s="6">
        <v>45727</v>
      </c>
      <c r="C571" t="s">
        <v>195</v>
      </c>
      <c r="D571" t="s">
        <v>180</v>
      </c>
      <c r="E571">
        <v>33024</v>
      </c>
      <c r="F571">
        <v>595</v>
      </c>
    </row>
    <row r="572" spans="1:6" x14ac:dyDescent="0.25">
      <c r="A572" t="s">
        <v>98</v>
      </c>
      <c r="B572" s="6">
        <v>45726</v>
      </c>
      <c r="C572" t="s">
        <v>196</v>
      </c>
      <c r="D572" t="s">
        <v>180</v>
      </c>
      <c r="E572">
        <v>8054</v>
      </c>
      <c r="F572">
        <v>609</v>
      </c>
    </row>
    <row r="573" spans="1:6" x14ac:dyDescent="0.25">
      <c r="A573" t="s">
        <v>98</v>
      </c>
      <c r="B573" s="6">
        <v>45720</v>
      </c>
      <c r="C573" t="s">
        <v>195</v>
      </c>
      <c r="D573" t="s">
        <v>180</v>
      </c>
      <c r="E573">
        <v>33945</v>
      </c>
      <c r="F573">
        <v>644</v>
      </c>
    </row>
    <row r="574" spans="1:6" x14ac:dyDescent="0.25">
      <c r="A574" t="s">
        <v>98</v>
      </c>
      <c r="B574" s="6">
        <v>45719</v>
      </c>
      <c r="C574" t="s">
        <v>196</v>
      </c>
      <c r="D574" t="s">
        <v>180</v>
      </c>
      <c r="E574">
        <v>8662</v>
      </c>
      <c r="F574">
        <v>673.96</v>
      </c>
    </row>
    <row r="575" spans="1:6" x14ac:dyDescent="0.25">
      <c r="A575" t="s">
        <v>98</v>
      </c>
      <c r="B575" s="6">
        <v>45716</v>
      </c>
      <c r="C575" t="s">
        <v>198</v>
      </c>
      <c r="D575" t="s">
        <v>180</v>
      </c>
      <c r="E575">
        <v>288686</v>
      </c>
      <c r="F575">
        <v>658.11339999999996</v>
      </c>
    </row>
    <row r="576" spans="1:6" x14ac:dyDescent="0.25">
      <c r="A576" t="s">
        <v>98</v>
      </c>
      <c r="B576" s="6">
        <v>45716</v>
      </c>
      <c r="C576" t="s">
        <v>198</v>
      </c>
      <c r="D576" t="s">
        <v>180</v>
      </c>
      <c r="E576">
        <v>290516</v>
      </c>
      <c r="F576">
        <v>656.30499999999995</v>
      </c>
    </row>
    <row r="577" spans="1:6" x14ac:dyDescent="0.25">
      <c r="A577" t="s">
        <v>98</v>
      </c>
      <c r="B577" s="6">
        <v>45716</v>
      </c>
      <c r="C577" t="s">
        <v>198</v>
      </c>
      <c r="D577" t="s">
        <v>180</v>
      </c>
      <c r="E577">
        <v>290716</v>
      </c>
      <c r="F577">
        <v>655.44439999999997</v>
      </c>
    </row>
    <row r="578" spans="1:6" x14ac:dyDescent="0.25">
      <c r="A578" t="s">
        <v>98</v>
      </c>
      <c r="B578" s="6">
        <v>45716</v>
      </c>
      <c r="C578" t="s">
        <v>198</v>
      </c>
      <c r="D578" t="s">
        <v>180</v>
      </c>
      <c r="E578">
        <v>291231</v>
      </c>
      <c r="F578">
        <v>654.70439999999996</v>
      </c>
    </row>
    <row r="579" spans="1:6" x14ac:dyDescent="0.25">
      <c r="A579" t="s">
        <v>98</v>
      </c>
      <c r="B579" s="6">
        <v>45716</v>
      </c>
      <c r="C579" t="s">
        <v>198</v>
      </c>
      <c r="D579" t="s">
        <v>180</v>
      </c>
      <c r="E579">
        <v>295950</v>
      </c>
      <c r="F579">
        <v>653.83600000000001</v>
      </c>
    </row>
    <row r="580" spans="1:6" x14ac:dyDescent="0.25">
      <c r="A580" t="s">
        <v>98</v>
      </c>
      <c r="B580" s="6">
        <v>45716</v>
      </c>
      <c r="C580" t="s">
        <v>198</v>
      </c>
      <c r="D580" t="s">
        <v>180</v>
      </c>
      <c r="E580">
        <v>300865</v>
      </c>
      <c r="F580">
        <v>652.71879999999999</v>
      </c>
    </row>
    <row r="581" spans="1:6" x14ac:dyDescent="0.25">
      <c r="A581" t="s">
        <v>98</v>
      </c>
      <c r="B581" s="6">
        <v>45716</v>
      </c>
      <c r="C581" t="s">
        <v>198</v>
      </c>
      <c r="D581" t="s">
        <v>180</v>
      </c>
      <c r="E581">
        <v>303080</v>
      </c>
      <c r="F581">
        <v>651.56550000000004</v>
      </c>
    </row>
    <row r="582" spans="1:6" x14ac:dyDescent="0.25">
      <c r="A582" t="s">
        <v>98</v>
      </c>
      <c r="B582" s="6">
        <v>45716</v>
      </c>
      <c r="C582" t="s">
        <v>198</v>
      </c>
      <c r="D582" t="s">
        <v>180</v>
      </c>
      <c r="E582">
        <v>304502</v>
      </c>
      <c r="F582">
        <v>650.54449999999997</v>
      </c>
    </row>
    <row r="583" spans="1:6" x14ac:dyDescent="0.25">
      <c r="A583" t="s">
        <v>98</v>
      </c>
      <c r="B583" s="6">
        <v>45716</v>
      </c>
      <c r="C583" t="s">
        <v>198</v>
      </c>
      <c r="D583" t="s">
        <v>180</v>
      </c>
      <c r="E583">
        <v>305812</v>
      </c>
      <c r="F583">
        <v>649.51509999999996</v>
      </c>
    </row>
    <row r="584" spans="1:6" x14ac:dyDescent="0.25">
      <c r="A584" t="s">
        <v>98</v>
      </c>
      <c r="B584" s="6">
        <v>45716</v>
      </c>
      <c r="C584" t="s">
        <v>198</v>
      </c>
      <c r="D584" t="s">
        <v>180</v>
      </c>
      <c r="E584">
        <v>306546</v>
      </c>
      <c r="F584">
        <v>648.06010000000003</v>
      </c>
    </row>
    <row r="585" spans="1:6" x14ac:dyDescent="0.25">
      <c r="A585" t="s">
        <v>98</v>
      </c>
      <c r="B585" s="6">
        <v>45716</v>
      </c>
      <c r="C585" t="s">
        <v>198</v>
      </c>
      <c r="D585" t="s">
        <v>180</v>
      </c>
      <c r="E585">
        <v>307255</v>
      </c>
      <c r="F585">
        <v>647.33010000000002</v>
      </c>
    </row>
    <row r="586" spans="1:6" x14ac:dyDescent="0.25">
      <c r="A586" t="s">
        <v>98</v>
      </c>
      <c r="B586" s="6">
        <v>45716</v>
      </c>
      <c r="C586" t="s">
        <v>198</v>
      </c>
      <c r="D586" t="s">
        <v>180</v>
      </c>
      <c r="E586">
        <v>307786</v>
      </c>
      <c r="F586">
        <v>646.07249999999999</v>
      </c>
    </row>
    <row r="587" spans="1:6" x14ac:dyDescent="0.25">
      <c r="A587" t="s">
        <v>98</v>
      </c>
      <c r="B587" s="6">
        <v>45716</v>
      </c>
      <c r="C587" t="s">
        <v>198</v>
      </c>
      <c r="D587" t="s">
        <v>180</v>
      </c>
      <c r="E587">
        <v>307986</v>
      </c>
      <c r="F587">
        <v>644.77329999999995</v>
      </c>
    </row>
    <row r="588" spans="1:6" x14ac:dyDescent="0.25">
      <c r="A588" t="s">
        <v>98</v>
      </c>
      <c r="B588" s="6">
        <v>45716</v>
      </c>
      <c r="C588" t="s">
        <v>198</v>
      </c>
      <c r="D588" t="s">
        <v>180</v>
      </c>
      <c r="E588">
        <v>308286</v>
      </c>
      <c r="F588">
        <v>643.55999999999995</v>
      </c>
    </row>
    <row r="589" spans="1:6" x14ac:dyDescent="0.25">
      <c r="A589" t="s">
        <v>98</v>
      </c>
      <c r="B589" s="6">
        <v>45715</v>
      </c>
      <c r="C589" t="s">
        <v>198</v>
      </c>
      <c r="D589" t="s">
        <v>180</v>
      </c>
      <c r="E589">
        <v>308686</v>
      </c>
      <c r="F589">
        <v>688.21</v>
      </c>
    </row>
    <row r="590" spans="1:6" x14ac:dyDescent="0.25">
      <c r="A590" t="s">
        <v>98</v>
      </c>
      <c r="B590" s="6">
        <v>45715</v>
      </c>
      <c r="C590" t="s">
        <v>198</v>
      </c>
      <c r="D590" t="s">
        <v>180</v>
      </c>
      <c r="E590">
        <v>308986</v>
      </c>
      <c r="F590">
        <v>687.05889999999999</v>
      </c>
    </row>
    <row r="591" spans="1:6" x14ac:dyDescent="0.25">
      <c r="A591" t="s">
        <v>98</v>
      </c>
      <c r="B591" s="6">
        <v>45715</v>
      </c>
      <c r="C591" t="s">
        <v>198</v>
      </c>
      <c r="D591" t="s">
        <v>180</v>
      </c>
      <c r="E591">
        <v>309886</v>
      </c>
      <c r="F591">
        <v>685.97730000000001</v>
      </c>
    </row>
    <row r="592" spans="1:6" x14ac:dyDescent="0.25">
      <c r="A592" t="s">
        <v>98</v>
      </c>
      <c r="B592" s="6">
        <v>45715</v>
      </c>
      <c r="C592" t="s">
        <v>198</v>
      </c>
      <c r="D592" t="s">
        <v>180</v>
      </c>
      <c r="E592">
        <v>311773</v>
      </c>
      <c r="F592">
        <v>684.94830000000002</v>
      </c>
    </row>
    <row r="593" spans="1:6" x14ac:dyDescent="0.25">
      <c r="A593" t="s">
        <v>98</v>
      </c>
      <c r="B593" s="6">
        <v>45715</v>
      </c>
      <c r="C593" t="s">
        <v>198</v>
      </c>
      <c r="D593" t="s">
        <v>180</v>
      </c>
      <c r="E593">
        <v>314228</v>
      </c>
      <c r="F593">
        <v>683.81389999999999</v>
      </c>
    </row>
    <row r="594" spans="1:6" x14ac:dyDescent="0.25">
      <c r="A594" t="s">
        <v>98</v>
      </c>
      <c r="B594" s="6">
        <v>45715</v>
      </c>
      <c r="C594" t="s">
        <v>198</v>
      </c>
      <c r="D594" t="s">
        <v>180</v>
      </c>
      <c r="E594">
        <v>315910</v>
      </c>
      <c r="F594">
        <v>682.35130000000004</v>
      </c>
    </row>
    <row r="595" spans="1:6" x14ac:dyDescent="0.25">
      <c r="A595" t="s">
        <v>98</v>
      </c>
      <c r="B595" s="6">
        <v>45715</v>
      </c>
      <c r="C595" t="s">
        <v>198</v>
      </c>
      <c r="D595" t="s">
        <v>180</v>
      </c>
      <c r="E595">
        <v>316710</v>
      </c>
      <c r="F595">
        <v>681.57420000000002</v>
      </c>
    </row>
    <row r="596" spans="1:6" x14ac:dyDescent="0.25">
      <c r="A596" t="s">
        <v>98</v>
      </c>
      <c r="B596" s="6">
        <v>45715</v>
      </c>
      <c r="C596" t="s">
        <v>198</v>
      </c>
      <c r="D596" t="s">
        <v>180</v>
      </c>
      <c r="E596">
        <v>317919</v>
      </c>
      <c r="F596">
        <v>680.59860000000003</v>
      </c>
    </row>
    <row r="597" spans="1:6" x14ac:dyDescent="0.25">
      <c r="A597" t="s">
        <v>98</v>
      </c>
      <c r="B597" s="6">
        <v>45715</v>
      </c>
      <c r="C597" t="s">
        <v>198</v>
      </c>
      <c r="D597" t="s">
        <v>180</v>
      </c>
      <c r="E597">
        <v>318619</v>
      </c>
      <c r="F597">
        <v>678.6</v>
      </c>
    </row>
    <row r="598" spans="1:6" x14ac:dyDescent="0.25">
      <c r="A598" t="s">
        <v>98</v>
      </c>
      <c r="B598" s="6">
        <v>45715</v>
      </c>
      <c r="C598" t="s">
        <v>198</v>
      </c>
      <c r="D598" t="s">
        <v>180</v>
      </c>
      <c r="E598">
        <v>319219</v>
      </c>
      <c r="F598">
        <v>677.2133</v>
      </c>
    </row>
    <row r="599" spans="1:6" x14ac:dyDescent="0.25">
      <c r="A599" t="s">
        <v>98</v>
      </c>
      <c r="B599" s="6">
        <v>45715</v>
      </c>
      <c r="C599" t="s">
        <v>198</v>
      </c>
      <c r="D599" t="s">
        <v>180</v>
      </c>
      <c r="E599">
        <v>319519</v>
      </c>
      <c r="F599">
        <v>676.12990000000002</v>
      </c>
    </row>
    <row r="600" spans="1:6" x14ac:dyDescent="0.25">
      <c r="A600" t="s">
        <v>98</v>
      </c>
      <c r="B600" s="6">
        <v>45715</v>
      </c>
      <c r="C600" t="s">
        <v>198</v>
      </c>
      <c r="D600" t="s">
        <v>180</v>
      </c>
      <c r="E600">
        <v>320959</v>
      </c>
      <c r="F600">
        <v>674.87070000000006</v>
      </c>
    </row>
    <row r="601" spans="1:6" x14ac:dyDescent="0.25">
      <c r="A601" t="s">
        <v>98</v>
      </c>
      <c r="B601" s="6">
        <v>45715</v>
      </c>
      <c r="C601" t="s">
        <v>198</v>
      </c>
      <c r="D601" t="s">
        <v>180</v>
      </c>
      <c r="E601">
        <v>322459</v>
      </c>
      <c r="F601">
        <v>673.92</v>
      </c>
    </row>
    <row r="602" spans="1:6" x14ac:dyDescent="0.25">
      <c r="A602" t="s">
        <v>98</v>
      </c>
      <c r="B602" s="6">
        <v>45715</v>
      </c>
      <c r="C602" t="s">
        <v>198</v>
      </c>
      <c r="D602" t="s">
        <v>180</v>
      </c>
      <c r="E602">
        <v>322959</v>
      </c>
      <c r="F602">
        <v>672.23500000000001</v>
      </c>
    </row>
    <row r="603" spans="1:6" x14ac:dyDescent="0.25">
      <c r="A603" t="s">
        <v>98</v>
      </c>
      <c r="B603" s="6">
        <v>45715</v>
      </c>
      <c r="C603" t="s">
        <v>198</v>
      </c>
      <c r="D603" t="s">
        <v>180</v>
      </c>
      <c r="E603">
        <v>323359</v>
      </c>
      <c r="F603">
        <v>670.95669999999996</v>
      </c>
    </row>
    <row r="604" spans="1:6" x14ac:dyDescent="0.25">
      <c r="A604" t="s">
        <v>98</v>
      </c>
      <c r="B604" s="6">
        <v>45715</v>
      </c>
      <c r="C604" t="s">
        <v>198</v>
      </c>
      <c r="D604" t="s">
        <v>180</v>
      </c>
      <c r="E604">
        <v>323959</v>
      </c>
      <c r="F604">
        <v>670.23569999999995</v>
      </c>
    </row>
    <row r="605" spans="1:6" x14ac:dyDescent="0.25">
      <c r="A605" t="s">
        <v>98</v>
      </c>
      <c r="B605" s="6">
        <v>45715</v>
      </c>
      <c r="C605" t="s">
        <v>198</v>
      </c>
      <c r="D605" t="s">
        <v>180</v>
      </c>
      <c r="E605">
        <v>325359</v>
      </c>
      <c r="F605">
        <v>668.83</v>
      </c>
    </row>
    <row r="606" spans="1:6" x14ac:dyDescent="0.25">
      <c r="A606" t="s">
        <v>98</v>
      </c>
      <c r="B606" s="6">
        <v>45715</v>
      </c>
      <c r="C606" t="s">
        <v>198</v>
      </c>
      <c r="D606" t="s">
        <v>180</v>
      </c>
      <c r="E606">
        <v>325859</v>
      </c>
      <c r="F606">
        <v>666.99339999999995</v>
      </c>
    </row>
    <row r="607" spans="1:6" x14ac:dyDescent="0.25">
      <c r="A607" t="s">
        <v>98</v>
      </c>
      <c r="B607" s="6">
        <v>45715</v>
      </c>
      <c r="C607" t="s">
        <v>198</v>
      </c>
      <c r="D607" t="s">
        <v>180</v>
      </c>
      <c r="E607">
        <v>326160</v>
      </c>
      <c r="F607">
        <v>665.67</v>
      </c>
    </row>
    <row r="608" spans="1:6" x14ac:dyDescent="0.25">
      <c r="A608" t="s">
        <v>98</v>
      </c>
      <c r="B608" s="6">
        <v>45715</v>
      </c>
      <c r="C608" t="s">
        <v>198</v>
      </c>
      <c r="D608" t="s">
        <v>180</v>
      </c>
      <c r="E608">
        <v>326660</v>
      </c>
      <c r="F608">
        <v>664.67139999999995</v>
      </c>
    </row>
    <row r="609" spans="1:6" x14ac:dyDescent="0.25">
      <c r="A609" t="s">
        <v>98</v>
      </c>
      <c r="B609" s="6">
        <v>45715</v>
      </c>
      <c r="C609" t="s">
        <v>198</v>
      </c>
      <c r="D609" t="s">
        <v>180</v>
      </c>
      <c r="E609">
        <v>328060</v>
      </c>
      <c r="F609">
        <v>663.32950000000005</v>
      </c>
    </row>
    <row r="610" spans="1:6" x14ac:dyDescent="0.25">
      <c r="A610" t="s">
        <v>98</v>
      </c>
      <c r="B610" s="6">
        <v>45714</v>
      </c>
      <c r="C610" t="s">
        <v>198</v>
      </c>
      <c r="D610" t="s">
        <v>180</v>
      </c>
      <c r="E610">
        <v>328686</v>
      </c>
      <c r="F610">
        <v>671.60270000000003</v>
      </c>
    </row>
    <row r="611" spans="1:6" x14ac:dyDescent="0.25">
      <c r="A611" t="s">
        <v>98</v>
      </c>
      <c r="B611" s="6">
        <v>45714</v>
      </c>
      <c r="C611" t="s">
        <v>198</v>
      </c>
      <c r="D611" t="s">
        <v>180</v>
      </c>
      <c r="E611">
        <v>329494</v>
      </c>
      <c r="F611">
        <v>670.60619999999994</v>
      </c>
    </row>
    <row r="612" spans="1:6" x14ac:dyDescent="0.25">
      <c r="A612" t="s">
        <v>98</v>
      </c>
      <c r="B612" s="6">
        <v>45714</v>
      </c>
      <c r="C612" t="s">
        <v>198</v>
      </c>
      <c r="D612" t="s">
        <v>180</v>
      </c>
      <c r="E612">
        <v>331594</v>
      </c>
      <c r="F612">
        <v>669.46600000000001</v>
      </c>
    </row>
    <row r="613" spans="1:6" x14ac:dyDescent="0.25">
      <c r="A613" t="s">
        <v>98</v>
      </c>
      <c r="B613" s="6">
        <v>45714</v>
      </c>
      <c r="C613" t="s">
        <v>198</v>
      </c>
      <c r="D613" t="s">
        <v>180</v>
      </c>
      <c r="E613">
        <v>332094</v>
      </c>
      <c r="F613">
        <v>668.23270000000002</v>
      </c>
    </row>
    <row r="614" spans="1:6" x14ac:dyDescent="0.25">
      <c r="A614" t="s">
        <v>98</v>
      </c>
      <c r="B614" s="6">
        <v>45714</v>
      </c>
      <c r="C614" t="s">
        <v>198</v>
      </c>
      <c r="D614" t="s">
        <v>180</v>
      </c>
      <c r="E614">
        <v>334374</v>
      </c>
      <c r="F614">
        <v>666.94119999999998</v>
      </c>
    </row>
    <row r="615" spans="1:6" x14ac:dyDescent="0.25">
      <c r="A615" t="s">
        <v>98</v>
      </c>
      <c r="B615" s="6">
        <v>45714</v>
      </c>
      <c r="C615" t="s">
        <v>198</v>
      </c>
      <c r="D615" t="s">
        <v>180</v>
      </c>
      <c r="E615">
        <v>334680</v>
      </c>
      <c r="F615">
        <v>665.81640000000004</v>
      </c>
    </row>
    <row r="616" spans="1:6" x14ac:dyDescent="0.25">
      <c r="A616" t="s">
        <v>98</v>
      </c>
      <c r="B616" s="6">
        <v>45714</v>
      </c>
      <c r="C616" t="s">
        <v>198</v>
      </c>
      <c r="D616" t="s">
        <v>180</v>
      </c>
      <c r="E616">
        <v>336089</v>
      </c>
      <c r="F616">
        <v>664.92560000000003</v>
      </c>
    </row>
    <row r="617" spans="1:6" x14ac:dyDescent="0.25">
      <c r="A617" t="s">
        <v>98</v>
      </c>
      <c r="B617" s="6">
        <v>45714</v>
      </c>
      <c r="C617" t="s">
        <v>198</v>
      </c>
      <c r="D617" t="s">
        <v>180</v>
      </c>
      <c r="E617">
        <v>339510</v>
      </c>
      <c r="F617">
        <v>663.93799999999999</v>
      </c>
    </row>
    <row r="618" spans="1:6" x14ac:dyDescent="0.25">
      <c r="A618" t="s">
        <v>98</v>
      </c>
      <c r="B618" s="6">
        <v>45714</v>
      </c>
      <c r="C618" t="s">
        <v>198</v>
      </c>
      <c r="D618" t="s">
        <v>180</v>
      </c>
      <c r="E618">
        <v>342203</v>
      </c>
      <c r="F618">
        <v>662.92830000000004</v>
      </c>
    </row>
    <row r="619" spans="1:6" x14ac:dyDescent="0.25">
      <c r="A619" t="s">
        <v>98</v>
      </c>
      <c r="B619" s="6">
        <v>45714</v>
      </c>
      <c r="C619" t="s">
        <v>198</v>
      </c>
      <c r="D619" t="s">
        <v>180</v>
      </c>
      <c r="E619">
        <v>342894</v>
      </c>
      <c r="F619">
        <v>661.80139999999994</v>
      </c>
    </row>
    <row r="620" spans="1:6" x14ac:dyDescent="0.25">
      <c r="A620" t="s">
        <v>98</v>
      </c>
      <c r="B620" s="6">
        <v>45714</v>
      </c>
      <c r="C620" t="s">
        <v>198</v>
      </c>
      <c r="D620" t="s">
        <v>180</v>
      </c>
      <c r="E620">
        <v>343368</v>
      </c>
      <c r="F620">
        <v>660.47119999999995</v>
      </c>
    </row>
    <row r="621" spans="1:6" x14ac:dyDescent="0.25">
      <c r="A621" t="s">
        <v>98</v>
      </c>
      <c r="B621" s="6">
        <v>45714</v>
      </c>
      <c r="C621" t="s">
        <v>198</v>
      </c>
      <c r="D621" t="s">
        <v>180</v>
      </c>
      <c r="E621">
        <v>343846</v>
      </c>
      <c r="F621">
        <v>659.69659999999999</v>
      </c>
    </row>
    <row r="622" spans="1:6" x14ac:dyDescent="0.25">
      <c r="A622" t="s">
        <v>98</v>
      </c>
      <c r="B622" s="6">
        <v>45714</v>
      </c>
      <c r="C622" t="s">
        <v>198</v>
      </c>
      <c r="D622" t="s">
        <v>180</v>
      </c>
      <c r="E622">
        <v>347486</v>
      </c>
      <c r="F622">
        <v>658.89580000000001</v>
      </c>
    </row>
    <row r="623" spans="1:6" x14ac:dyDescent="0.25">
      <c r="A623" t="s">
        <v>98</v>
      </c>
      <c r="B623" s="6">
        <v>45713</v>
      </c>
      <c r="C623" t="s">
        <v>195</v>
      </c>
      <c r="D623" t="s">
        <v>180</v>
      </c>
      <c r="E623">
        <v>34866</v>
      </c>
      <c r="F623">
        <v>665.75</v>
      </c>
    </row>
    <row r="624" spans="1:6" x14ac:dyDescent="0.25">
      <c r="A624" t="s">
        <v>98</v>
      </c>
      <c r="B624" s="6">
        <v>45712</v>
      </c>
      <c r="C624" t="s">
        <v>196</v>
      </c>
      <c r="D624" t="s">
        <v>180</v>
      </c>
      <c r="E624">
        <v>9270</v>
      </c>
      <c r="F624">
        <v>686.28</v>
      </c>
    </row>
    <row r="625" spans="1:6" x14ac:dyDescent="0.25">
      <c r="A625" t="s">
        <v>98</v>
      </c>
      <c r="B625" s="6">
        <v>45709</v>
      </c>
      <c r="C625" t="s">
        <v>201</v>
      </c>
      <c r="D625" t="s">
        <v>10</v>
      </c>
      <c r="E625">
        <v>192874288</v>
      </c>
      <c r="F625">
        <v>0</v>
      </c>
    </row>
    <row r="626" spans="1:6" x14ac:dyDescent="0.25">
      <c r="A626" t="s">
        <v>98</v>
      </c>
      <c r="B626" s="6">
        <v>45709</v>
      </c>
      <c r="C626" t="s">
        <v>201</v>
      </c>
      <c r="D626" t="s">
        <v>180</v>
      </c>
      <c r="E626">
        <v>0</v>
      </c>
      <c r="F626">
        <v>703.77499999999998</v>
      </c>
    </row>
    <row r="627" spans="1:6" x14ac:dyDescent="0.25">
      <c r="A627" t="s">
        <v>98</v>
      </c>
      <c r="B627" s="6">
        <v>45709</v>
      </c>
      <c r="C627" t="s">
        <v>201</v>
      </c>
      <c r="D627" t="s">
        <v>180</v>
      </c>
      <c r="E627">
        <v>120</v>
      </c>
      <c r="F627">
        <v>702.65930000000003</v>
      </c>
    </row>
    <row r="628" spans="1:6" x14ac:dyDescent="0.25">
      <c r="A628" t="s">
        <v>98</v>
      </c>
      <c r="B628" s="6">
        <v>45709</v>
      </c>
      <c r="C628" t="s">
        <v>201</v>
      </c>
      <c r="D628" t="s">
        <v>180</v>
      </c>
      <c r="E628">
        <v>613</v>
      </c>
      <c r="F628">
        <v>701.42</v>
      </c>
    </row>
    <row r="629" spans="1:6" x14ac:dyDescent="0.25">
      <c r="A629" t="s">
        <v>98</v>
      </c>
      <c r="B629" s="6">
        <v>45709</v>
      </c>
      <c r="C629" t="s">
        <v>201</v>
      </c>
      <c r="D629" t="s">
        <v>180</v>
      </c>
      <c r="E629">
        <v>1403</v>
      </c>
      <c r="F629">
        <v>700.46559999999999</v>
      </c>
    </row>
    <row r="630" spans="1:6" x14ac:dyDescent="0.25">
      <c r="A630" t="s">
        <v>98</v>
      </c>
      <c r="B630" s="6">
        <v>45709</v>
      </c>
      <c r="C630" t="s">
        <v>201</v>
      </c>
      <c r="D630" t="s">
        <v>10</v>
      </c>
      <c r="E630">
        <v>3523</v>
      </c>
      <c r="F630">
        <v>0</v>
      </c>
    </row>
    <row r="631" spans="1:6" x14ac:dyDescent="0.25">
      <c r="A631" t="s">
        <v>98</v>
      </c>
      <c r="B631" s="6">
        <v>45708</v>
      </c>
      <c r="C631" t="s">
        <v>201</v>
      </c>
      <c r="D631" t="s">
        <v>10</v>
      </c>
      <c r="E631">
        <v>192877811</v>
      </c>
      <c r="F631">
        <v>0</v>
      </c>
    </row>
    <row r="632" spans="1:6" x14ac:dyDescent="0.25">
      <c r="A632" t="s">
        <v>98</v>
      </c>
      <c r="B632" s="6">
        <v>45708</v>
      </c>
      <c r="C632" t="s">
        <v>201</v>
      </c>
      <c r="D632" t="s">
        <v>180</v>
      </c>
      <c r="E632">
        <v>0</v>
      </c>
      <c r="F632">
        <v>705.3528</v>
      </c>
    </row>
    <row r="633" spans="1:6" x14ac:dyDescent="0.25">
      <c r="A633" t="s">
        <v>98</v>
      </c>
      <c r="B633" s="6">
        <v>45708</v>
      </c>
      <c r="C633" t="s">
        <v>201</v>
      </c>
      <c r="D633" t="s">
        <v>180</v>
      </c>
      <c r="E633">
        <v>143</v>
      </c>
      <c r="F633">
        <v>703.87879999999996</v>
      </c>
    </row>
    <row r="634" spans="1:6" x14ac:dyDescent="0.25">
      <c r="A634" t="s">
        <v>98</v>
      </c>
      <c r="B634" s="6">
        <v>45708</v>
      </c>
      <c r="C634" t="s">
        <v>201</v>
      </c>
      <c r="D634" t="s">
        <v>180</v>
      </c>
      <c r="E634">
        <v>543</v>
      </c>
      <c r="F634">
        <v>702.96730000000002</v>
      </c>
    </row>
    <row r="635" spans="1:6" x14ac:dyDescent="0.25">
      <c r="A635" t="s">
        <v>98</v>
      </c>
      <c r="B635" s="6">
        <v>45708</v>
      </c>
      <c r="C635" t="s">
        <v>201</v>
      </c>
      <c r="D635" t="s">
        <v>180</v>
      </c>
      <c r="E635">
        <v>1220</v>
      </c>
      <c r="F635">
        <v>701.94290000000001</v>
      </c>
    </row>
    <row r="636" spans="1:6" x14ac:dyDescent="0.25">
      <c r="A636" t="s">
        <v>98</v>
      </c>
      <c r="B636" s="6">
        <v>45708</v>
      </c>
      <c r="C636" t="s">
        <v>201</v>
      </c>
      <c r="D636" t="s">
        <v>180</v>
      </c>
      <c r="E636">
        <v>2063</v>
      </c>
      <c r="F636">
        <v>700.40719999999999</v>
      </c>
    </row>
    <row r="637" spans="1:6" x14ac:dyDescent="0.25">
      <c r="A637" t="s">
        <v>98</v>
      </c>
      <c r="B637" s="6">
        <v>45708</v>
      </c>
      <c r="C637" t="s">
        <v>201</v>
      </c>
      <c r="D637" t="s">
        <v>10</v>
      </c>
      <c r="E637">
        <v>3563</v>
      </c>
      <c r="F637">
        <v>0</v>
      </c>
    </row>
    <row r="638" spans="1:6" x14ac:dyDescent="0.25">
      <c r="A638" t="s">
        <v>98</v>
      </c>
      <c r="B638" s="6">
        <v>45707</v>
      </c>
      <c r="C638" t="s">
        <v>201</v>
      </c>
      <c r="D638" t="s">
        <v>10</v>
      </c>
      <c r="E638">
        <v>192881374</v>
      </c>
      <c r="F638">
        <v>0</v>
      </c>
    </row>
    <row r="639" spans="1:6" x14ac:dyDescent="0.25">
      <c r="A639" t="s">
        <v>98</v>
      </c>
      <c r="B639" s="6">
        <v>45707</v>
      </c>
      <c r="C639" t="s">
        <v>201</v>
      </c>
      <c r="D639" t="s">
        <v>180</v>
      </c>
      <c r="E639">
        <v>0</v>
      </c>
      <c r="F639">
        <v>706.28</v>
      </c>
    </row>
    <row r="640" spans="1:6" x14ac:dyDescent="0.25">
      <c r="A640" t="s">
        <v>98</v>
      </c>
      <c r="B640" s="6">
        <v>45707</v>
      </c>
      <c r="C640" t="s">
        <v>201</v>
      </c>
      <c r="D640" t="s">
        <v>180</v>
      </c>
      <c r="E640">
        <v>100</v>
      </c>
      <c r="F640">
        <v>705.37840000000006</v>
      </c>
    </row>
    <row r="641" spans="1:6" x14ac:dyDescent="0.25">
      <c r="A641" t="s">
        <v>98</v>
      </c>
      <c r="B641" s="6">
        <v>45707</v>
      </c>
      <c r="C641" t="s">
        <v>201</v>
      </c>
      <c r="D641" t="s">
        <v>180</v>
      </c>
      <c r="E641">
        <v>1392</v>
      </c>
      <c r="F641">
        <v>704.53700000000003</v>
      </c>
    </row>
    <row r="642" spans="1:6" x14ac:dyDescent="0.25">
      <c r="A642" t="s">
        <v>98</v>
      </c>
      <c r="B642" s="6">
        <v>45707</v>
      </c>
      <c r="C642" t="s">
        <v>201</v>
      </c>
      <c r="D642" t="s">
        <v>180</v>
      </c>
      <c r="E642">
        <v>5974</v>
      </c>
      <c r="F642">
        <v>703.6653</v>
      </c>
    </row>
    <row r="643" spans="1:6" x14ac:dyDescent="0.25">
      <c r="A643" t="s">
        <v>98</v>
      </c>
      <c r="B643" s="6">
        <v>45707</v>
      </c>
      <c r="C643" t="s">
        <v>201</v>
      </c>
      <c r="D643" t="s">
        <v>180</v>
      </c>
      <c r="E643">
        <v>10157</v>
      </c>
      <c r="F643">
        <v>702.50369999999998</v>
      </c>
    </row>
    <row r="644" spans="1:6" x14ac:dyDescent="0.25">
      <c r="A644" t="s">
        <v>98</v>
      </c>
      <c r="B644" s="6">
        <v>45707</v>
      </c>
      <c r="C644" t="s">
        <v>201</v>
      </c>
      <c r="D644" t="s">
        <v>180</v>
      </c>
      <c r="E644">
        <v>16405</v>
      </c>
      <c r="F644">
        <v>701.52430000000004</v>
      </c>
    </row>
    <row r="645" spans="1:6" x14ac:dyDescent="0.25">
      <c r="A645" t="s">
        <v>98</v>
      </c>
      <c r="B645" s="6">
        <v>45707</v>
      </c>
      <c r="C645" t="s">
        <v>201</v>
      </c>
      <c r="D645" t="s">
        <v>180</v>
      </c>
      <c r="E645">
        <v>18544</v>
      </c>
      <c r="F645">
        <v>700.54809999999998</v>
      </c>
    </row>
    <row r="646" spans="1:6" x14ac:dyDescent="0.25">
      <c r="A646" t="s">
        <v>98</v>
      </c>
      <c r="B646" s="6">
        <v>45707</v>
      </c>
      <c r="C646" t="s">
        <v>201</v>
      </c>
      <c r="D646" t="s">
        <v>10</v>
      </c>
      <c r="E646">
        <v>19668</v>
      </c>
      <c r="F646">
        <v>0</v>
      </c>
    </row>
    <row r="647" spans="1:6" x14ac:dyDescent="0.25">
      <c r="A647" t="s">
        <v>98</v>
      </c>
      <c r="B647" s="6">
        <v>45706</v>
      </c>
      <c r="C647" t="s">
        <v>201</v>
      </c>
      <c r="D647" t="s">
        <v>10</v>
      </c>
      <c r="E647">
        <v>192901042</v>
      </c>
      <c r="F647">
        <v>0</v>
      </c>
    </row>
    <row r="648" spans="1:6" x14ac:dyDescent="0.25">
      <c r="A648" t="s">
        <v>98</v>
      </c>
      <c r="B648" s="6">
        <v>45706</v>
      </c>
      <c r="C648" t="s">
        <v>201</v>
      </c>
      <c r="D648" t="s">
        <v>180</v>
      </c>
      <c r="E648">
        <v>0</v>
      </c>
      <c r="F648">
        <v>736.61389999999994</v>
      </c>
    </row>
    <row r="649" spans="1:6" x14ac:dyDescent="0.25">
      <c r="A649" t="s">
        <v>98</v>
      </c>
      <c r="B649" s="6">
        <v>45706</v>
      </c>
      <c r="C649" t="s">
        <v>201</v>
      </c>
      <c r="D649" t="s">
        <v>180</v>
      </c>
      <c r="E649">
        <v>212</v>
      </c>
      <c r="F649">
        <v>735.09109999999998</v>
      </c>
    </row>
    <row r="650" spans="1:6" x14ac:dyDescent="0.25">
      <c r="A650" t="s">
        <v>98</v>
      </c>
      <c r="B650" s="6">
        <v>45706</v>
      </c>
      <c r="C650" t="s">
        <v>201</v>
      </c>
      <c r="D650" t="s">
        <v>180</v>
      </c>
      <c r="E650">
        <v>509</v>
      </c>
      <c r="F650">
        <v>734.27329999999995</v>
      </c>
    </row>
    <row r="651" spans="1:6" x14ac:dyDescent="0.25">
      <c r="A651" t="s">
        <v>98</v>
      </c>
      <c r="B651" s="6">
        <v>45706</v>
      </c>
      <c r="C651" t="s">
        <v>201</v>
      </c>
      <c r="D651" t="s">
        <v>180</v>
      </c>
      <c r="E651">
        <v>865</v>
      </c>
      <c r="F651">
        <v>732.60249999999996</v>
      </c>
    </row>
    <row r="652" spans="1:6" x14ac:dyDescent="0.25">
      <c r="A652" t="s">
        <v>98</v>
      </c>
      <c r="B652" s="6">
        <v>45706</v>
      </c>
      <c r="C652" t="s">
        <v>201</v>
      </c>
      <c r="D652" t="s">
        <v>180</v>
      </c>
      <c r="E652">
        <v>1065</v>
      </c>
      <c r="F652">
        <v>730.97569999999996</v>
      </c>
    </row>
    <row r="653" spans="1:6" x14ac:dyDescent="0.25">
      <c r="A653" t="s">
        <v>98</v>
      </c>
      <c r="B653" s="6">
        <v>45706</v>
      </c>
      <c r="C653" t="s">
        <v>201</v>
      </c>
      <c r="D653" t="s">
        <v>180</v>
      </c>
      <c r="E653">
        <v>1173</v>
      </c>
      <c r="F653">
        <v>729.59280000000001</v>
      </c>
    </row>
    <row r="654" spans="1:6" x14ac:dyDescent="0.25">
      <c r="A654" t="s">
        <v>98</v>
      </c>
      <c r="B654" s="6">
        <v>45706</v>
      </c>
      <c r="C654" t="s">
        <v>201</v>
      </c>
      <c r="D654" t="s">
        <v>180</v>
      </c>
      <c r="E654">
        <v>1292</v>
      </c>
      <c r="F654">
        <v>728.32780000000002</v>
      </c>
    </row>
    <row r="655" spans="1:6" x14ac:dyDescent="0.25">
      <c r="A655" t="s">
        <v>98</v>
      </c>
      <c r="B655" s="6">
        <v>45706</v>
      </c>
      <c r="C655" t="s">
        <v>201</v>
      </c>
      <c r="D655" t="s">
        <v>180</v>
      </c>
      <c r="E655">
        <v>1548</v>
      </c>
      <c r="F655">
        <v>727.45249999999999</v>
      </c>
    </row>
    <row r="656" spans="1:6" x14ac:dyDescent="0.25">
      <c r="A656" t="s">
        <v>98</v>
      </c>
      <c r="B656" s="6">
        <v>45706</v>
      </c>
      <c r="C656" t="s">
        <v>201</v>
      </c>
      <c r="D656" t="s">
        <v>180</v>
      </c>
      <c r="E656">
        <v>1842</v>
      </c>
      <c r="F656">
        <v>726.38980000000004</v>
      </c>
    </row>
    <row r="657" spans="1:6" x14ac:dyDescent="0.25">
      <c r="A657" t="s">
        <v>98</v>
      </c>
      <c r="B657" s="6">
        <v>45706</v>
      </c>
      <c r="C657" t="s">
        <v>201</v>
      </c>
      <c r="D657" t="s">
        <v>180</v>
      </c>
      <c r="E657">
        <v>2132</v>
      </c>
      <c r="F657">
        <v>725.11559999999997</v>
      </c>
    </row>
    <row r="658" spans="1:6" x14ac:dyDescent="0.25">
      <c r="A658" t="s">
        <v>98</v>
      </c>
      <c r="B658" s="6">
        <v>45706</v>
      </c>
      <c r="C658" t="s">
        <v>201</v>
      </c>
      <c r="D658" t="s">
        <v>180</v>
      </c>
      <c r="E658">
        <v>2593</v>
      </c>
      <c r="F658">
        <v>723.90930000000003</v>
      </c>
    </row>
    <row r="659" spans="1:6" x14ac:dyDescent="0.25">
      <c r="A659" t="s">
        <v>98</v>
      </c>
      <c r="B659" s="6">
        <v>45706</v>
      </c>
      <c r="C659" t="s">
        <v>201</v>
      </c>
      <c r="D659" t="s">
        <v>180</v>
      </c>
      <c r="E659">
        <v>3273</v>
      </c>
      <c r="F659">
        <v>723.06679999999994</v>
      </c>
    </row>
    <row r="660" spans="1:6" x14ac:dyDescent="0.25">
      <c r="A660" t="s">
        <v>98</v>
      </c>
      <c r="B660" s="6">
        <v>45706</v>
      </c>
      <c r="C660" t="s">
        <v>201</v>
      </c>
      <c r="D660" t="s">
        <v>180</v>
      </c>
      <c r="E660">
        <v>3680</v>
      </c>
      <c r="F660">
        <v>721.58720000000005</v>
      </c>
    </row>
    <row r="661" spans="1:6" x14ac:dyDescent="0.25">
      <c r="A661" t="s">
        <v>98</v>
      </c>
      <c r="B661" s="6">
        <v>45706</v>
      </c>
      <c r="C661" t="s">
        <v>201</v>
      </c>
      <c r="D661" t="s">
        <v>180</v>
      </c>
      <c r="E661">
        <v>4202</v>
      </c>
      <c r="F661">
        <v>720.13170000000002</v>
      </c>
    </row>
    <row r="662" spans="1:6" x14ac:dyDescent="0.25">
      <c r="A662" t="s">
        <v>98</v>
      </c>
      <c r="B662" s="6">
        <v>45706</v>
      </c>
      <c r="C662" t="s">
        <v>201</v>
      </c>
      <c r="D662" t="s">
        <v>180</v>
      </c>
      <c r="E662">
        <v>5606</v>
      </c>
      <c r="F662">
        <v>719.0095</v>
      </c>
    </row>
    <row r="663" spans="1:6" x14ac:dyDescent="0.25">
      <c r="A663" t="s">
        <v>98</v>
      </c>
      <c r="B663" s="6">
        <v>45706</v>
      </c>
      <c r="C663" t="s">
        <v>201</v>
      </c>
      <c r="D663" t="s">
        <v>180</v>
      </c>
      <c r="E663">
        <v>6386</v>
      </c>
      <c r="F663">
        <v>718.13189999999997</v>
      </c>
    </row>
    <row r="664" spans="1:6" x14ac:dyDescent="0.25">
      <c r="A664" t="s">
        <v>98</v>
      </c>
      <c r="B664" s="6">
        <v>45706</v>
      </c>
      <c r="C664" t="s">
        <v>201</v>
      </c>
      <c r="D664" t="s">
        <v>180</v>
      </c>
      <c r="E664">
        <v>8328</v>
      </c>
      <c r="F664">
        <v>717.22220000000004</v>
      </c>
    </row>
    <row r="665" spans="1:6" x14ac:dyDescent="0.25">
      <c r="A665" t="s">
        <v>98</v>
      </c>
      <c r="B665" s="6">
        <v>45706</v>
      </c>
      <c r="C665" t="s">
        <v>201</v>
      </c>
      <c r="D665" t="s">
        <v>180</v>
      </c>
      <c r="E665">
        <v>10402</v>
      </c>
      <c r="F665">
        <v>716.05330000000004</v>
      </c>
    </row>
    <row r="666" spans="1:6" x14ac:dyDescent="0.25">
      <c r="A666" t="s">
        <v>98</v>
      </c>
      <c r="B666" s="6">
        <v>45706</v>
      </c>
      <c r="C666" t="s">
        <v>201</v>
      </c>
      <c r="D666" t="s">
        <v>180</v>
      </c>
      <c r="E666">
        <v>12604</v>
      </c>
      <c r="F666">
        <v>714.89530000000002</v>
      </c>
    </row>
    <row r="667" spans="1:6" x14ac:dyDescent="0.25">
      <c r="A667" t="s">
        <v>98</v>
      </c>
      <c r="B667" s="6">
        <v>45706</v>
      </c>
      <c r="C667" t="s">
        <v>201</v>
      </c>
      <c r="D667" t="s">
        <v>180</v>
      </c>
      <c r="E667">
        <v>13094</v>
      </c>
      <c r="F667">
        <v>713.59699999999998</v>
      </c>
    </row>
    <row r="668" spans="1:6" x14ac:dyDescent="0.25">
      <c r="A668" t="s">
        <v>98</v>
      </c>
      <c r="B668" s="6">
        <v>45706</v>
      </c>
      <c r="C668" t="s">
        <v>201</v>
      </c>
      <c r="D668" t="s">
        <v>180</v>
      </c>
      <c r="E668">
        <v>13393</v>
      </c>
      <c r="F668">
        <v>712.53219999999999</v>
      </c>
    </row>
    <row r="669" spans="1:6" x14ac:dyDescent="0.25">
      <c r="A669" t="s">
        <v>98</v>
      </c>
      <c r="B669" s="6">
        <v>45706</v>
      </c>
      <c r="C669" t="s">
        <v>201</v>
      </c>
      <c r="D669" t="s">
        <v>180</v>
      </c>
      <c r="E669">
        <v>14004</v>
      </c>
      <c r="F669">
        <v>711.25429999999994</v>
      </c>
    </row>
    <row r="670" spans="1:6" x14ac:dyDescent="0.25">
      <c r="A670" t="s">
        <v>98</v>
      </c>
      <c r="B670" s="6">
        <v>45706</v>
      </c>
      <c r="C670" t="s">
        <v>201</v>
      </c>
      <c r="D670" t="s">
        <v>180</v>
      </c>
      <c r="E670">
        <v>14618</v>
      </c>
      <c r="F670">
        <v>710.18179999999995</v>
      </c>
    </row>
    <row r="671" spans="1:6" x14ac:dyDescent="0.25">
      <c r="A671" t="s">
        <v>98</v>
      </c>
      <c r="B671" s="6">
        <v>45706</v>
      </c>
      <c r="C671" t="s">
        <v>201</v>
      </c>
      <c r="D671" t="s">
        <v>180</v>
      </c>
      <c r="E671">
        <v>15346</v>
      </c>
      <c r="F671">
        <v>709.11689999999999</v>
      </c>
    </row>
    <row r="672" spans="1:6" x14ac:dyDescent="0.25">
      <c r="A672" t="s">
        <v>98</v>
      </c>
      <c r="B672" s="6">
        <v>45706</v>
      </c>
      <c r="C672" t="s">
        <v>201</v>
      </c>
      <c r="D672" t="s">
        <v>180</v>
      </c>
      <c r="E672">
        <v>16908</v>
      </c>
      <c r="F672">
        <v>708.15700000000004</v>
      </c>
    </row>
    <row r="673" spans="1:6" x14ac:dyDescent="0.25">
      <c r="A673" t="s">
        <v>98</v>
      </c>
      <c r="B673" s="6">
        <v>45706</v>
      </c>
      <c r="C673" t="s">
        <v>201</v>
      </c>
      <c r="D673" t="s">
        <v>180</v>
      </c>
      <c r="E673">
        <v>19099</v>
      </c>
      <c r="F673">
        <v>707.26620000000003</v>
      </c>
    </row>
    <row r="674" spans="1:6" x14ac:dyDescent="0.25">
      <c r="A674" t="s">
        <v>98</v>
      </c>
      <c r="B674" s="6">
        <v>45706</v>
      </c>
      <c r="C674" t="s">
        <v>201</v>
      </c>
      <c r="D674" t="s">
        <v>10</v>
      </c>
      <c r="E674">
        <v>19668</v>
      </c>
      <c r="F674">
        <v>0</v>
      </c>
    </row>
    <row r="675" spans="1:6" x14ac:dyDescent="0.25">
      <c r="A675" t="s">
        <v>98</v>
      </c>
      <c r="B675" s="6">
        <v>45706</v>
      </c>
      <c r="C675" t="s">
        <v>196</v>
      </c>
      <c r="D675" t="s">
        <v>180</v>
      </c>
      <c r="E675">
        <v>9878</v>
      </c>
      <c r="F675">
        <v>736.07</v>
      </c>
    </row>
    <row r="676" spans="1:6" x14ac:dyDescent="0.25">
      <c r="A676" t="s">
        <v>98</v>
      </c>
      <c r="B676" s="6">
        <v>45706</v>
      </c>
      <c r="C676" t="s">
        <v>195</v>
      </c>
      <c r="D676" t="s">
        <v>180</v>
      </c>
      <c r="E676">
        <v>35787</v>
      </c>
      <c r="F676">
        <v>736.07</v>
      </c>
    </row>
    <row r="677" spans="1:6" x14ac:dyDescent="0.25">
      <c r="A677" t="s">
        <v>98</v>
      </c>
      <c r="B677" s="6">
        <v>45703</v>
      </c>
      <c r="C677" t="s">
        <v>202</v>
      </c>
      <c r="D677" t="s">
        <v>22</v>
      </c>
      <c r="E677">
        <v>756</v>
      </c>
      <c r="F677">
        <v>0</v>
      </c>
    </row>
    <row r="678" spans="1:6" x14ac:dyDescent="0.25">
      <c r="A678" t="s">
        <v>98</v>
      </c>
      <c r="B678" s="6">
        <v>45703</v>
      </c>
      <c r="C678" t="s">
        <v>202</v>
      </c>
      <c r="D678" t="s">
        <v>22</v>
      </c>
      <c r="E678">
        <v>6111</v>
      </c>
      <c r="F678">
        <v>0</v>
      </c>
    </row>
    <row r="679" spans="1:6" x14ac:dyDescent="0.25">
      <c r="A679" t="s">
        <v>98</v>
      </c>
      <c r="B679" s="6">
        <v>45703</v>
      </c>
      <c r="C679" t="s">
        <v>196</v>
      </c>
      <c r="D679" t="s">
        <v>22</v>
      </c>
      <c r="E679">
        <v>32153</v>
      </c>
      <c r="F679">
        <v>0</v>
      </c>
    </row>
    <row r="680" spans="1:6" x14ac:dyDescent="0.25">
      <c r="A680" t="s">
        <v>98</v>
      </c>
      <c r="B680" s="6">
        <v>45703</v>
      </c>
      <c r="C680" t="s">
        <v>196</v>
      </c>
      <c r="D680" t="s">
        <v>22</v>
      </c>
      <c r="E680">
        <v>54328</v>
      </c>
      <c r="F680">
        <v>0</v>
      </c>
    </row>
    <row r="681" spans="1:6" x14ac:dyDescent="0.25">
      <c r="A681" t="s">
        <v>98</v>
      </c>
      <c r="B681" s="6">
        <v>45703</v>
      </c>
      <c r="C681" t="s">
        <v>196</v>
      </c>
      <c r="D681" t="s">
        <v>10</v>
      </c>
      <c r="E681">
        <v>21881</v>
      </c>
      <c r="F681">
        <v>0</v>
      </c>
    </row>
    <row r="682" spans="1:6" x14ac:dyDescent="0.25">
      <c r="A682" t="s">
        <v>98</v>
      </c>
      <c r="B682" s="6">
        <v>45703</v>
      </c>
      <c r="C682" t="s">
        <v>196</v>
      </c>
      <c r="D682" t="s">
        <v>10</v>
      </c>
      <c r="E682">
        <v>0</v>
      </c>
      <c r="F682">
        <v>0</v>
      </c>
    </row>
    <row r="683" spans="1:6" x14ac:dyDescent="0.25">
      <c r="A683" t="s">
        <v>98</v>
      </c>
      <c r="B683" s="6">
        <v>45703</v>
      </c>
      <c r="C683" t="s">
        <v>196</v>
      </c>
      <c r="D683" t="s">
        <v>73</v>
      </c>
      <c r="E683">
        <v>25935</v>
      </c>
      <c r="F683">
        <v>736.67</v>
      </c>
    </row>
    <row r="684" spans="1:6" x14ac:dyDescent="0.25">
      <c r="A684" t="s">
        <v>98</v>
      </c>
      <c r="B684" s="6">
        <v>45703</v>
      </c>
      <c r="C684" t="s">
        <v>196</v>
      </c>
      <c r="D684" t="s">
        <v>22</v>
      </c>
      <c r="E684">
        <v>30405</v>
      </c>
      <c r="F684">
        <v>0</v>
      </c>
    </row>
    <row r="685" spans="1:6" x14ac:dyDescent="0.25">
      <c r="A685" t="s">
        <v>98</v>
      </c>
      <c r="B685" s="6">
        <v>45703</v>
      </c>
      <c r="C685" t="s">
        <v>196</v>
      </c>
      <c r="D685" t="s">
        <v>22</v>
      </c>
      <c r="E685">
        <v>27726</v>
      </c>
      <c r="F685">
        <v>0</v>
      </c>
    </row>
    <row r="686" spans="1:6" x14ac:dyDescent="0.25">
      <c r="A686" t="s">
        <v>98</v>
      </c>
      <c r="B686" s="6">
        <v>45703</v>
      </c>
      <c r="C686" t="s">
        <v>196</v>
      </c>
      <c r="D686" t="s">
        <v>180</v>
      </c>
      <c r="E686">
        <v>20935</v>
      </c>
      <c r="F686">
        <v>736.67</v>
      </c>
    </row>
    <row r="687" spans="1:6" x14ac:dyDescent="0.25">
      <c r="A687" t="s">
        <v>98</v>
      </c>
      <c r="B687" s="6">
        <v>45703</v>
      </c>
      <c r="C687" t="s">
        <v>196</v>
      </c>
      <c r="D687" t="s">
        <v>10</v>
      </c>
      <c r="E687">
        <v>25641</v>
      </c>
      <c r="F687">
        <v>0</v>
      </c>
    </row>
    <row r="688" spans="1:6" x14ac:dyDescent="0.25">
      <c r="A688" t="s">
        <v>98</v>
      </c>
      <c r="B688" s="6">
        <v>45703</v>
      </c>
      <c r="C688" t="s">
        <v>196</v>
      </c>
      <c r="D688" t="s">
        <v>10</v>
      </c>
      <c r="E688">
        <v>20170</v>
      </c>
      <c r="F688">
        <v>0</v>
      </c>
    </row>
    <row r="689" spans="1:6" x14ac:dyDescent="0.25">
      <c r="A689" t="s">
        <v>98</v>
      </c>
      <c r="B689" s="6">
        <v>45703</v>
      </c>
      <c r="C689" t="s">
        <v>195</v>
      </c>
      <c r="D689" t="s">
        <v>22</v>
      </c>
      <c r="E689">
        <v>32153</v>
      </c>
      <c r="F689">
        <v>0</v>
      </c>
    </row>
    <row r="690" spans="1:6" x14ac:dyDescent="0.25">
      <c r="A690" t="s">
        <v>98</v>
      </c>
      <c r="B690" s="6">
        <v>45703</v>
      </c>
      <c r="C690" t="s">
        <v>195</v>
      </c>
      <c r="D690" t="s">
        <v>22</v>
      </c>
      <c r="E690">
        <v>54328</v>
      </c>
      <c r="F690">
        <v>0</v>
      </c>
    </row>
    <row r="691" spans="1:6" x14ac:dyDescent="0.25">
      <c r="A691" t="s">
        <v>98</v>
      </c>
      <c r="B691" s="6">
        <v>45703</v>
      </c>
      <c r="C691" t="s">
        <v>195</v>
      </c>
      <c r="D691" t="s">
        <v>22</v>
      </c>
      <c r="E691">
        <v>21881</v>
      </c>
      <c r="F691">
        <v>0</v>
      </c>
    </row>
    <row r="692" spans="1:6" x14ac:dyDescent="0.25">
      <c r="A692" t="s">
        <v>98</v>
      </c>
      <c r="B692" s="6">
        <v>45703</v>
      </c>
      <c r="C692" t="s">
        <v>195</v>
      </c>
      <c r="D692" t="s">
        <v>22</v>
      </c>
      <c r="E692">
        <v>0</v>
      </c>
      <c r="F692">
        <v>0</v>
      </c>
    </row>
    <row r="693" spans="1:6" x14ac:dyDescent="0.25">
      <c r="A693" t="s">
        <v>98</v>
      </c>
      <c r="B693" s="6">
        <v>45703</v>
      </c>
      <c r="C693" t="s">
        <v>195</v>
      </c>
      <c r="D693" t="s">
        <v>73</v>
      </c>
      <c r="E693">
        <v>36708</v>
      </c>
      <c r="F693">
        <v>736.67</v>
      </c>
    </row>
    <row r="694" spans="1:6" x14ac:dyDescent="0.25">
      <c r="A694" t="s">
        <v>98</v>
      </c>
      <c r="B694" s="6">
        <v>45703</v>
      </c>
      <c r="C694" t="s">
        <v>195</v>
      </c>
      <c r="D694" t="s">
        <v>22</v>
      </c>
      <c r="E694">
        <v>45380</v>
      </c>
      <c r="F694">
        <v>0</v>
      </c>
    </row>
    <row r="695" spans="1:6" x14ac:dyDescent="0.25">
      <c r="A695" t="s">
        <v>98</v>
      </c>
      <c r="B695" s="6">
        <v>45703</v>
      </c>
      <c r="C695" t="s">
        <v>195</v>
      </c>
      <c r="D695" t="s">
        <v>22</v>
      </c>
      <c r="E695">
        <v>42701</v>
      </c>
      <c r="F695">
        <v>0</v>
      </c>
    </row>
    <row r="696" spans="1:6" x14ac:dyDescent="0.25">
      <c r="A696" t="s">
        <v>98</v>
      </c>
      <c r="B696" s="6">
        <v>45703</v>
      </c>
      <c r="C696" t="s">
        <v>195</v>
      </c>
      <c r="D696" t="s">
        <v>22</v>
      </c>
      <c r="E696">
        <v>35910</v>
      </c>
      <c r="F696">
        <v>0</v>
      </c>
    </row>
    <row r="697" spans="1:6" x14ac:dyDescent="0.25">
      <c r="A697" t="s">
        <v>98</v>
      </c>
      <c r="B697" s="6">
        <v>45703</v>
      </c>
      <c r="C697" t="s">
        <v>195</v>
      </c>
      <c r="D697" t="s">
        <v>22</v>
      </c>
      <c r="E697">
        <v>30439</v>
      </c>
      <c r="F697">
        <v>0</v>
      </c>
    </row>
    <row r="698" spans="1:6" x14ac:dyDescent="0.25">
      <c r="A698" t="s">
        <v>98</v>
      </c>
      <c r="B698" s="6">
        <v>45703</v>
      </c>
      <c r="C698" t="s">
        <v>198</v>
      </c>
      <c r="D698" t="s">
        <v>22</v>
      </c>
      <c r="E698">
        <v>32153</v>
      </c>
      <c r="F698">
        <v>0</v>
      </c>
    </row>
    <row r="699" spans="1:6" x14ac:dyDescent="0.25">
      <c r="A699" t="s">
        <v>98</v>
      </c>
      <c r="B699" s="6">
        <v>45703</v>
      </c>
      <c r="C699" t="s">
        <v>198</v>
      </c>
      <c r="D699" t="s">
        <v>22</v>
      </c>
      <c r="E699">
        <v>54328</v>
      </c>
      <c r="F699">
        <v>0</v>
      </c>
    </row>
    <row r="700" spans="1:6" x14ac:dyDescent="0.25">
      <c r="A700" t="s">
        <v>98</v>
      </c>
      <c r="B700" s="6">
        <v>45703</v>
      </c>
      <c r="C700" t="s">
        <v>198</v>
      </c>
      <c r="D700" t="s">
        <v>22</v>
      </c>
      <c r="E700">
        <v>21881</v>
      </c>
      <c r="F700">
        <v>0</v>
      </c>
    </row>
    <row r="701" spans="1:6" x14ac:dyDescent="0.25">
      <c r="A701" t="s">
        <v>98</v>
      </c>
      <c r="B701" s="6">
        <v>45703</v>
      </c>
      <c r="C701" t="s">
        <v>198</v>
      </c>
      <c r="D701" t="s">
        <v>22</v>
      </c>
      <c r="E701">
        <v>0</v>
      </c>
      <c r="F701">
        <v>0</v>
      </c>
    </row>
    <row r="702" spans="1:6" x14ac:dyDescent="0.25">
      <c r="A702" t="s">
        <v>98</v>
      </c>
      <c r="B702" s="6">
        <v>45703</v>
      </c>
      <c r="C702" t="s">
        <v>198</v>
      </c>
      <c r="D702" t="s">
        <v>73</v>
      </c>
      <c r="E702">
        <v>348686</v>
      </c>
      <c r="F702">
        <v>736.67</v>
      </c>
    </row>
    <row r="703" spans="1:6" x14ac:dyDescent="0.25">
      <c r="A703" t="s">
        <v>98</v>
      </c>
      <c r="B703" s="6">
        <v>45703</v>
      </c>
      <c r="C703" t="s">
        <v>198</v>
      </c>
      <c r="D703" t="s">
        <v>22</v>
      </c>
      <c r="E703">
        <v>358235</v>
      </c>
      <c r="F703">
        <v>0</v>
      </c>
    </row>
    <row r="704" spans="1:6" x14ac:dyDescent="0.25">
      <c r="A704" t="s">
        <v>98</v>
      </c>
      <c r="B704" s="6">
        <v>45703</v>
      </c>
      <c r="C704" t="s">
        <v>198</v>
      </c>
      <c r="D704" t="s">
        <v>22</v>
      </c>
      <c r="E704">
        <v>355556</v>
      </c>
      <c r="F704">
        <v>0</v>
      </c>
    </row>
    <row r="705" spans="1:6" x14ac:dyDescent="0.25">
      <c r="A705" t="s">
        <v>98</v>
      </c>
      <c r="B705" s="6">
        <v>45703</v>
      </c>
      <c r="C705" t="s">
        <v>198</v>
      </c>
      <c r="D705" t="s">
        <v>22</v>
      </c>
      <c r="E705">
        <v>348765</v>
      </c>
      <c r="F705">
        <v>0</v>
      </c>
    </row>
    <row r="706" spans="1:6" x14ac:dyDescent="0.25">
      <c r="A706" t="s">
        <v>98</v>
      </c>
      <c r="B706" s="6">
        <v>45703</v>
      </c>
      <c r="C706" t="s">
        <v>198</v>
      </c>
      <c r="D706" t="s">
        <v>22</v>
      </c>
      <c r="E706">
        <v>343294</v>
      </c>
      <c r="F706">
        <v>0</v>
      </c>
    </row>
    <row r="707" spans="1:6" x14ac:dyDescent="0.25">
      <c r="A707" t="s">
        <v>98</v>
      </c>
      <c r="B707" s="6">
        <v>45703</v>
      </c>
      <c r="C707" t="s">
        <v>200</v>
      </c>
      <c r="D707" t="s">
        <v>22</v>
      </c>
      <c r="E707">
        <v>32153</v>
      </c>
      <c r="F707">
        <v>0</v>
      </c>
    </row>
    <row r="708" spans="1:6" x14ac:dyDescent="0.25">
      <c r="A708" t="s">
        <v>98</v>
      </c>
      <c r="B708" s="6">
        <v>45703</v>
      </c>
      <c r="C708" t="s">
        <v>200</v>
      </c>
      <c r="D708" t="s">
        <v>22</v>
      </c>
      <c r="E708">
        <v>54328</v>
      </c>
      <c r="F708">
        <v>0</v>
      </c>
    </row>
    <row r="709" spans="1:6" x14ac:dyDescent="0.25">
      <c r="A709" t="s">
        <v>98</v>
      </c>
      <c r="B709" s="6">
        <v>45703</v>
      </c>
      <c r="C709" t="s">
        <v>200</v>
      </c>
      <c r="D709" t="s">
        <v>10</v>
      </c>
      <c r="E709">
        <v>21881</v>
      </c>
      <c r="F709">
        <v>0</v>
      </c>
    </row>
    <row r="710" spans="1:6" x14ac:dyDescent="0.25">
      <c r="A710" t="s">
        <v>98</v>
      </c>
      <c r="B710" s="6">
        <v>45703</v>
      </c>
      <c r="C710" t="s">
        <v>200</v>
      </c>
      <c r="D710" t="s">
        <v>10</v>
      </c>
      <c r="E710">
        <v>0</v>
      </c>
      <c r="F710">
        <v>0</v>
      </c>
    </row>
    <row r="711" spans="1:6" x14ac:dyDescent="0.25">
      <c r="A711" t="s">
        <v>98</v>
      </c>
      <c r="B711" s="6">
        <v>45703</v>
      </c>
      <c r="C711" t="s">
        <v>200</v>
      </c>
      <c r="D711" t="s">
        <v>22</v>
      </c>
      <c r="E711">
        <v>32153</v>
      </c>
      <c r="F711">
        <v>0</v>
      </c>
    </row>
    <row r="712" spans="1:6" x14ac:dyDescent="0.25">
      <c r="A712" t="s">
        <v>98</v>
      </c>
      <c r="B712" s="6">
        <v>45703</v>
      </c>
      <c r="C712" t="s">
        <v>200</v>
      </c>
      <c r="D712" t="s">
        <v>22</v>
      </c>
      <c r="E712">
        <v>54328</v>
      </c>
      <c r="F712">
        <v>0</v>
      </c>
    </row>
    <row r="713" spans="1:6" x14ac:dyDescent="0.25">
      <c r="A713" t="s">
        <v>98</v>
      </c>
      <c r="B713" s="6">
        <v>45703</v>
      </c>
      <c r="C713" t="s">
        <v>200</v>
      </c>
      <c r="D713" t="s">
        <v>10</v>
      </c>
      <c r="E713">
        <v>16411</v>
      </c>
      <c r="F713">
        <v>0</v>
      </c>
    </row>
    <row r="714" spans="1:6" x14ac:dyDescent="0.25">
      <c r="A714" t="s">
        <v>98</v>
      </c>
      <c r="B714" s="6">
        <v>45703</v>
      </c>
      <c r="C714" t="s">
        <v>200</v>
      </c>
      <c r="D714" t="s">
        <v>10</v>
      </c>
      <c r="E714">
        <v>0</v>
      </c>
      <c r="F714">
        <v>0</v>
      </c>
    </row>
    <row r="715" spans="1:6" x14ac:dyDescent="0.25">
      <c r="A715" t="s">
        <v>98</v>
      </c>
      <c r="B715" s="6">
        <v>45703</v>
      </c>
      <c r="C715" t="s">
        <v>200</v>
      </c>
      <c r="D715" t="s">
        <v>10</v>
      </c>
      <c r="E715">
        <v>28323</v>
      </c>
      <c r="F715">
        <v>0</v>
      </c>
    </row>
    <row r="716" spans="1:6" x14ac:dyDescent="0.25">
      <c r="A716" t="s">
        <v>98</v>
      </c>
      <c r="B716" s="6">
        <v>45703</v>
      </c>
      <c r="C716" t="s">
        <v>200</v>
      </c>
      <c r="D716" t="s">
        <v>10</v>
      </c>
      <c r="E716">
        <v>26393</v>
      </c>
      <c r="F716">
        <v>0</v>
      </c>
    </row>
    <row r="717" spans="1:6" x14ac:dyDescent="0.25">
      <c r="A717" t="s">
        <v>98</v>
      </c>
      <c r="B717" s="6">
        <v>45703</v>
      </c>
      <c r="C717" t="s">
        <v>200</v>
      </c>
      <c r="D717" t="s">
        <v>73</v>
      </c>
      <c r="E717">
        <v>65812</v>
      </c>
      <c r="F717">
        <v>736.67</v>
      </c>
    </row>
    <row r="718" spans="1:6" x14ac:dyDescent="0.25">
      <c r="A718" t="s">
        <v>98</v>
      </c>
      <c r="B718" s="6">
        <v>45703</v>
      </c>
      <c r="C718" t="s">
        <v>200</v>
      </c>
      <c r="D718" t="s">
        <v>22</v>
      </c>
      <c r="E718">
        <v>70508</v>
      </c>
      <c r="F718">
        <v>0</v>
      </c>
    </row>
    <row r="719" spans="1:6" x14ac:dyDescent="0.25">
      <c r="A719" t="s">
        <v>98</v>
      </c>
      <c r="B719" s="6">
        <v>45703</v>
      </c>
      <c r="C719" t="s">
        <v>200</v>
      </c>
      <c r="D719" t="s">
        <v>22</v>
      </c>
      <c r="E719">
        <v>67829</v>
      </c>
      <c r="F719">
        <v>0</v>
      </c>
    </row>
    <row r="720" spans="1:6" x14ac:dyDescent="0.25">
      <c r="A720" t="s">
        <v>98</v>
      </c>
      <c r="B720" s="6">
        <v>45703</v>
      </c>
      <c r="C720" t="s">
        <v>200</v>
      </c>
      <c r="D720" t="s">
        <v>180</v>
      </c>
      <c r="E720">
        <v>61038</v>
      </c>
      <c r="F720">
        <v>736.67</v>
      </c>
    </row>
    <row r="721" spans="1:6" x14ac:dyDescent="0.25">
      <c r="A721" t="s">
        <v>98</v>
      </c>
      <c r="B721" s="6">
        <v>45703</v>
      </c>
      <c r="C721" t="s">
        <v>200</v>
      </c>
      <c r="D721" t="s">
        <v>10</v>
      </c>
      <c r="E721">
        <v>65043</v>
      </c>
      <c r="F721">
        <v>0</v>
      </c>
    </row>
    <row r="722" spans="1:6" x14ac:dyDescent="0.25">
      <c r="A722" t="s">
        <v>98</v>
      </c>
      <c r="B722" s="6">
        <v>45703</v>
      </c>
      <c r="C722" t="s">
        <v>200</v>
      </c>
      <c r="D722" t="s">
        <v>10</v>
      </c>
      <c r="E722">
        <v>59572</v>
      </c>
      <c r="F722">
        <v>0</v>
      </c>
    </row>
    <row r="723" spans="1:6" x14ac:dyDescent="0.25">
      <c r="A723" t="s">
        <v>98</v>
      </c>
      <c r="B723" s="6">
        <v>45703</v>
      </c>
      <c r="C723" t="s">
        <v>200</v>
      </c>
      <c r="D723" t="s">
        <v>73</v>
      </c>
      <c r="E723">
        <v>56567</v>
      </c>
      <c r="F723">
        <v>736.67</v>
      </c>
    </row>
    <row r="724" spans="1:6" x14ac:dyDescent="0.25">
      <c r="A724" t="s">
        <v>98</v>
      </c>
      <c r="B724" s="6">
        <v>45703</v>
      </c>
      <c r="C724" t="s">
        <v>200</v>
      </c>
      <c r="D724" t="s">
        <v>22</v>
      </c>
      <c r="E724">
        <v>61263</v>
      </c>
      <c r="F724">
        <v>0</v>
      </c>
    </row>
    <row r="725" spans="1:6" x14ac:dyDescent="0.25">
      <c r="A725" t="s">
        <v>98</v>
      </c>
      <c r="B725" s="6">
        <v>45703</v>
      </c>
      <c r="C725" t="s">
        <v>200</v>
      </c>
      <c r="D725" t="s">
        <v>22</v>
      </c>
      <c r="E725">
        <v>58584</v>
      </c>
      <c r="F725">
        <v>0</v>
      </c>
    </row>
    <row r="726" spans="1:6" x14ac:dyDescent="0.25">
      <c r="A726" t="s">
        <v>98</v>
      </c>
      <c r="B726" s="6">
        <v>45703</v>
      </c>
      <c r="C726" t="s">
        <v>200</v>
      </c>
      <c r="D726" t="s">
        <v>180</v>
      </c>
      <c r="E726">
        <v>51793</v>
      </c>
      <c r="F726">
        <v>736.67</v>
      </c>
    </row>
    <row r="727" spans="1:6" x14ac:dyDescent="0.25">
      <c r="A727" t="s">
        <v>98</v>
      </c>
      <c r="B727" s="6">
        <v>45703</v>
      </c>
      <c r="C727" t="s">
        <v>200</v>
      </c>
      <c r="D727" t="s">
        <v>10</v>
      </c>
      <c r="E727">
        <v>56341</v>
      </c>
      <c r="F727">
        <v>0</v>
      </c>
    </row>
    <row r="728" spans="1:6" x14ac:dyDescent="0.25">
      <c r="A728" t="s">
        <v>98</v>
      </c>
      <c r="B728" s="6">
        <v>45703</v>
      </c>
      <c r="C728" t="s">
        <v>200</v>
      </c>
      <c r="D728" t="s">
        <v>10</v>
      </c>
      <c r="E728">
        <v>52238</v>
      </c>
      <c r="F728">
        <v>0</v>
      </c>
    </row>
    <row r="729" spans="1:6" x14ac:dyDescent="0.25">
      <c r="A729" t="s">
        <v>98</v>
      </c>
      <c r="B729" s="6">
        <v>45703</v>
      </c>
      <c r="C729" t="s">
        <v>200</v>
      </c>
      <c r="D729" t="s">
        <v>10</v>
      </c>
      <c r="E729">
        <v>51057</v>
      </c>
      <c r="F729">
        <v>0</v>
      </c>
    </row>
    <row r="730" spans="1:6" x14ac:dyDescent="0.25">
      <c r="A730" t="s">
        <v>98</v>
      </c>
      <c r="B730" s="6">
        <v>45703</v>
      </c>
      <c r="C730" t="s">
        <v>200</v>
      </c>
      <c r="D730" t="s">
        <v>10</v>
      </c>
      <c r="E730">
        <v>49169</v>
      </c>
      <c r="F730">
        <v>0</v>
      </c>
    </row>
    <row r="731" spans="1:6" x14ac:dyDescent="0.25">
      <c r="A731" t="s">
        <v>98</v>
      </c>
      <c r="B731" s="6">
        <v>45703</v>
      </c>
      <c r="C731" t="s">
        <v>197</v>
      </c>
      <c r="D731" t="s">
        <v>22</v>
      </c>
      <c r="E731">
        <v>54328</v>
      </c>
      <c r="F731">
        <v>0</v>
      </c>
    </row>
    <row r="732" spans="1:6" x14ac:dyDescent="0.25">
      <c r="A732" t="s">
        <v>98</v>
      </c>
      <c r="B732" s="6">
        <v>45703</v>
      </c>
      <c r="C732" t="s">
        <v>197</v>
      </c>
      <c r="D732" t="s">
        <v>22</v>
      </c>
      <c r="E732">
        <v>21881</v>
      </c>
      <c r="F732">
        <v>0</v>
      </c>
    </row>
    <row r="733" spans="1:6" x14ac:dyDescent="0.25">
      <c r="A733" t="s">
        <v>98</v>
      </c>
      <c r="B733" s="6">
        <v>45703</v>
      </c>
      <c r="C733" t="s">
        <v>197</v>
      </c>
      <c r="D733" t="s">
        <v>10</v>
      </c>
      <c r="E733">
        <v>14162</v>
      </c>
      <c r="F733">
        <v>0</v>
      </c>
    </row>
    <row r="734" spans="1:6" x14ac:dyDescent="0.25">
      <c r="A734" t="s">
        <v>98</v>
      </c>
      <c r="B734" s="6">
        <v>45703</v>
      </c>
      <c r="C734" t="s">
        <v>197</v>
      </c>
      <c r="D734" t="s">
        <v>10</v>
      </c>
      <c r="E734">
        <v>16435</v>
      </c>
      <c r="F734">
        <v>0</v>
      </c>
    </row>
    <row r="735" spans="1:6" x14ac:dyDescent="0.25">
      <c r="A735" t="s">
        <v>98</v>
      </c>
      <c r="B735" s="6">
        <v>45703</v>
      </c>
      <c r="C735" t="s">
        <v>197</v>
      </c>
      <c r="D735" t="s">
        <v>73</v>
      </c>
      <c r="E735">
        <v>11321</v>
      </c>
      <c r="F735">
        <v>736.67</v>
      </c>
    </row>
    <row r="736" spans="1:6" x14ac:dyDescent="0.25">
      <c r="A736" t="s">
        <v>98</v>
      </c>
      <c r="B736" s="6">
        <v>45703</v>
      </c>
      <c r="C736" t="s">
        <v>197</v>
      </c>
      <c r="D736" t="s">
        <v>22</v>
      </c>
      <c r="E736">
        <v>17401</v>
      </c>
      <c r="F736">
        <v>0</v>
      </c>
    </row>
    <row r="737" spans="1:6" x14ac:dyDescent="0.25">
      <c r="A737" t="s">
        <v>98</v>
      </c>
      <c r="B737" s="6">
        <v>45703</v>
      </c>
      <c r="C737" t="s">
        <v>197</v>
      </c>
      <c r="D737" t="s">
        <v>22</v>
      </c>
      <c r="E737">
        <v>10610</v>
      </c>
      <c r="F737">
        <v>0</v>
      </c>
    </row>
    <row r="738" spans="1:6" x14ac:dyDescent="0.25">
      <c r="A738" t="s">
        <v>98</v>
      </c>
      <c r="B738" s="6">
        <v>45703</v>
      </c>
      <c r="C738" t="s">
        <v>197</v>
      </c>
      <c r="D738" t="s">
        <v>180</v>
      </c>
      <c r="E738">
        <v>5139</v>
      </c>
      <c r="F738">
        <v>736.67</v>
      </c>
    </row>
    <row r="739" spans="1:6" x14ac:dyDescent="0.25">
      <c r="A739" t="s">
        <v>98</v>
      </c>
      <c r="B739" s="6">
        <v>45703</v>
      </c>
      <c r="C739" t="s">
        <v>197</v>
      </c>
      <c r="D739" t="s">
        <v>10</v>
      </c>
      <c r="E739">
        <v>10199</v>
      </c>
      <c r="F739">
        <v>0</v>
      </c>
    </row>
    <row r="740" spans="1:6" x14ac:dyDescent="0.25">
      <c r="A740" t="s">
        <v>98</v>
      </c>
      <c r="B740" s="6">
        <v>45703</v>
      </c>
      <c r="C740" t="s">
        <v>197</v>
      </c>
      <c r="D740" t="s">
        <v>10</v>
      </c>
      <c r="E740">
        <v>5479</v>
      </c>
      <c r="F740">
        <v>0</v>
      </c>
    </row>
    <row r="741" spans="1:6" x14ac:dyDescent="0.25">
      <c r="A741" t="s">
        <v>98</v>
      </c>
      <c r="B741" s="6">
        <v>45703</v>
      </c>
      <c r="C741" t="s">
        <v>203</v>
      </c>
      <c r="D741" t="s">
        <v>22</v>
      </c>
      <c r="E741">
        <v>2007</v>
      </c>
      <c r="F741">
        <v>0</v>
      </c>
    </row>
    <row r="742" spans="1:6" x14ac:dyDescent="0.25">
      <c r="A742" t="s">
        <v>98</v>
      </c>
      <c r="B742" s="6">
        <v>45703</v>
      </c>
      <c r="C742" t="s">
        <v>203</v>
      </c>
      <c r="D742" t="s">
        <v>22</v>
      </c>
      <c r="E742">
        <v>924</v>
      </c>
      <c r="F742">
        <v>0</v>
      </c>
    </row>
    <row r="743" spans="1:6" x14ac:dyDescent="0.25">
      <c r="A743" t="s">
        <v>98</v>
      </c>
      <c r="B743" s="6">
        <v>45703</v>
      </c>
      <c r="C743" t="s">
        <v>199</v>
      </c>
      <c r="D743" t="s">
        <v>22</v>
      </c>
      <c r="E743">
        <v>3993</v>
      </c>
      <c r="F743">
        <v>0</v>
      </c>
    </row>
    <row r="744" spans="1:6" x14ac:dyDescent="0.25">
      <c r="A744" t="s">
        <v>98</v>
      </c>
      <c r="B744" s="6">
        <v>45703</v>
      </c>
      <c r="C744" t="s">
        <v>199</v>
      </c>
      <c r="D744" t="s">
        <v>22</v>
      </c>
      <c r="E744">
        <v>13053</v>
      </c>
      <c r="F744">
        <v>0</v>
      </c>
    </row>
    <row r="745" spans="1:6" x14ac:dyDescent="0.25">
      <c r="A745" t="s">
        <v>98</v>
      </c>
      <c r="B745" s="6">
        <v>45703</v>
      </c>
      <c r="C745" t="s">
        <v>199</v>
      </c>
      <c r="D745" t="s">
        <v>73</v>
      </c>
      <c r="E745">
        <v>4304</v>
      </c>
      <c r="F745">
        <v>736.67</v>
      </c>
    </row>
    <row r="746" spans="1:6" x14ac:dyDescent="0.25">
      <c r="A746" t="s">
        <v>98</v>
      </c>
      <c r="B746" s="6">
        <v>45703</v>
      </c>
      <c r="C746" t="s">
        <v>199</v>
      </c>
      <c r="D746" t="s">
        <v>22</v>
      </c>
      <c r="E746">
        <v>5196</v>
      </c>
      <c r="F746">
        <v>0</v>
      </c>
    </row>
    <row r="747" spans="1:6" x14ac:dyDescent="0.25">
      <c r="A747" t="s">
        <v>98</v>
      </c>
      <c r="B747" s="6">
        <v>45703</v>
      </c>
      <c r="C747" t="s">
        <v>199</v>
      </c>
      <c r="D747" t="s">
        <v>22</v>
      </c>
      <c r="E747">
        <v>4864</v>
      </c>
      <c r="F747">
        <v>0</v>
      </c>
    </row>
    <row r="748" spans="1:6" x14ac:dyDescent="0.25">
      <c r="A748" t="s">
        <v>98</v>
      </c>
      <c r="B748" s="6">
        <v>45703</v>
      </c>
      <c r="C748" t="s">
        <v>204</v>
      </c>
      <c r="D748" t="s">
        <v>22</v>
      </c>
      <c r="E748">
        <v>2007</v>
      </c>
      <c r="F748">
        <v>0</v>
      </c>
    </row>
    <row r="749" spans="1:6" x14ac:dyDescent="0.25">
      <c r="A749" t="s">
        <v>98</v>
      </c>
      <c r="B749" s="6">
        <v>45703</v>
      </c>
      <c r="C749" t="s">
        <v>204</v>
      </c>
      <c r="D749" t="s">
        <v>22</v>
      </c>
      <c r="E749">
        <v>924</v>
      </c>
      <c r="F749">
        <v>0</v>
      </c>
    </row>
    <row r="750" spans="1:6" x14ac:dyDescent="0.25">
      <c r="A750" t="s">
        <v>98</v>
      </c>
      <c r="B750" s="6">
        <v>45702</v>
      </c>
      <c r="C750" t="s">
        <v>201</v>
      </c>
      <c r="D750" t="s">
        <v>10</v>
      </c>
      <c r="E750">
        <v>192920710</v>
      </c>
      <c r="F750">
        <v>0</v>
      </c>
    </row>
    <row r="751" spans="1:6" x14ac:dyDescent="0.25">
      <c r="A751" t="s">
        <v>98</v>
      </c>
      <c r="B751" s="6">
        <v>45702</v>
      </c>
      <c r="C751" t="s">
        <v>201</v>
      </c>
      <c r="D751" t="s">
        <v>180</v>
      </c>
      <c r="E751">
        <v>0</v>
      </c>
      <c r="F751">
        <v>740.71040000000005</v>
      </c>
    </row>
    <row r="752" spans="1:6" x14ac:dyDescent="0.25">
      <c r="A752" t="s">
        <v>98</v>
      </c>
      <c r="B752" s="6">
        <v>45702</v>
      </c>
      <c r="C752" t="s">
        <v>201</v>
      </c>
      <c r="D752" t="s">
        <v>180</v>
      </c>
      <c r="E752">
        <v>102</v>
      </c>
      <c r="F752">
        <v>739.84829999999999</v>
      </c>
    </row>
    <row r="753" spans="1:6" x14ac:dyDescent="0.25">
      <c r="A753" t="s">
        <v>98</v>
      </c>
      <c r="B753" s="6">
        <v>45702</v>
      </c>
      <c r="C753" t="s">
        <v>201</v>
      </c>
      <c r="D753" t="s">
        <v>180</v>
      </c>
      <c r="E753">
        <v>1519</v>
      </c>
      <c r="F753">
        <v>738.76660000000004</v>
      </c>
    </row>
    <row r="754" spans="1:6" x14ac:dyDescent="0.25">
      <c r="A754" t="s">
        <v>98</v>
      </c>
      <c r="B754" s="6">
        <v>45702</v>
      </c>
      <c r="C754" t="s">
        <v>201</v>
      </c>
      <c r="D754" t="s">
        <v>180</v>
      </c>
      <c r="E754">
        <v>4272</v>
      </c>
      <c r="F754">
        <v>737.62139999999999</v>
      </c>
    </row>
    <row r="755" spans="1:6" x14ac:dyDescent="0.25">
      <c r="A755" t="s">
        <v>98</v>
      </c>
      <c r="B755" s="6">
        <v>45702</v>
      </c>
      <c r="C755" t="s">
        <v>201</v>
      </c>
      <c r="D755" t="s">
        <v>180</v>
      </c>
      <c r="E755">
        <v>6265</v>
      </c>
      <c r="F755">
        <v>736.63170000000002</v>
      </c>
    </row>
    <row r="756" spans="1:6" x14ac:dyDescent="0.25">
      <c r="A756" t="s">
        <v>98</v>
      </c>
      <c r="B756" s="6">
        <v>45702</v>
      </c>
      <c r="C756" t="s">
        <v>201</v>
      </c>
      <c r="D756" t="s">
        <v>180</v>
      </c>
      <c r="E756">
        <v>8576</v>
      </c>
      <c r="F756">
        <v>735.63160000000005</v>
      </c>
    </row>
    <row r="757" spans="1:6" x14ac:dyDescent="0.25">
      <c r="A757" t="s">
        <v>98</v>
      </c>
      <c r="B757" s="6">
        <v>45702</v>
      </c>
      <c r="C757" t="s">
        <v>201</v>
      </c>
      <c r="D757" t="s">
        <v>180</v>
      </c>
      <c r="E757">
        <v>10006</v>
      </c>
      <c r="F757">
        <v>734.70630000000006</v>
      </c>
    </row>
    <row r="758" spans="1:6" x14ac:dyDescent="0.25">
      <c r="A758" t="s">
        <v>98</v>
      </c>
      <c r="B758" s="6">
        <v>45702</v>
      </c>
      <c r="C758" t="s">
        <v>201</v>
      </c>
      <c r="D758" t="s">
        <v>180</v>
      </c>
      <c r="E758">
        <v>11831</v>
      </c>
      <c r="F758">
        <v>733.31870000000004</v>
      </c>
    </row>
    <row r="759" spans="1:6" x14ac:dyDescent="0.25">
      <c r="A759" t="s">
        <v>98</v>
      </c>
      <c r="B759" s="6">
        <v>45702</v>
      </c>
      <c r="C759" t="s">
        <v>201</v>
      </c>
      <c r="D759" t="s">
        <v>180</v>
      </c>
      <c r="E759">
        <v>12444</v>
      </c>
      <c r="F759">
        <v>732.00210000000004</v>
      </c>
    </row>
    <row r="760" spans="1:6" x14ac:dyDescent="0.25">
      <c r="A760" t="s">
        <v>98</v>
      </c>
      <c r="B760" s="6">
        <v>45702</v>
      </c>
      <c r="C760" t="s">
        <v>201</v>
      </c>
      <c r="D760" t="s">
        <v>180</v>
      </c>
      <c r="E760">
        <v>13414</v>
      </c>
      <c r="F760">
        <v>731.01620000000003</v>
      </c>
    </row>
    <row r="761" spans="1:6" x14ac:dyDescent="0.25">
      <c r="A761" t="s">
        <v>98</v>
      </c>
      <c r="B761" s="6">
        <v>45702</v>
      </c>
      <c r="C761" t="s">
        <v>201</v>
      </c>
      <c r="D761" t="s">
        <v>180</v>
      </c>
      <c r="E761">
        <v>15189</v>
      </c>
      <c r="F761">
        <v>730.20690000000002</v>
      </c>
    </row>
    <row r="762" spans="1:6" x14ac:dyDescent="0.25">
      <c r="A762" t="s">
        <v>98</v>
      </c>
      <c r="B762" s="6">
        <v>45702</v>
      </c>
      <c r="C762" t="s">
        <v>201</v>
      </c>
      <c r="D762" t="s">
        <v>180</v>
      </c>
      <c r="E762">
        <v>16854</v>
      </c>
      <c r="F762">
        <v>729.0104</v>
      </c>
    </row>
    <row r="763" spans="1:6" x14ac:dyDescent="0.25">
      <c r="A763" t="s">
        <v>98</v>
      </c>
      <c r="B763" s="6">
        <v>45702</v>
      </c>
      <c r="C763" t="s">
        <v>201</v>
      </c>
      <c r="D763" t="s">
        <v>180</v>
      </c>
      <c r="E763">
        <v>18708</v>
      </c>
      <c r="F763">
        <v>727.86860000000001</v>
      </c>
    </row>
    <row r="764" spans="1:6" x14ac:dyDescent="0.25">
      <c r="A764" t="s">
        <v>98</v>
      </c>
      <c r="B764" s="6">
        <v>45702</v>
      </c>
      <c r="C764" t="s">
        <v>201</v>
      </c>
      <c r="D764" t="s">
        <v>180</v>
      </c>
      <c r="E764">
        <v>19478</v>
      </c>
      <c r="F764">
        <v>726.67679999999996</v>
      </c>
    </row>
    <row r="765" spans="1:6" x14ac:dyDescent="0.25">
      <c r="A765" t="s">
        <v>98</v>
      </c>
      <c r="B765" s="6">
        <v>45702</v>
      </c>
      <c r="C765" t="s">
        <v>201</v>
      </c>
      <c r="D765" t="s">
        <v>10</v>
      </c>
      <c r="E765">
        <v>19668</v>
      </c>
      <c r="F765">
        <v>0</v>
      </c>
    </row>
    <row r="766" spans="1:6" x14ac:dyDescent="0.25">
      <c r="A766" t="s">
        <v>98</v>
      </c>
      <c r="B766" s="6">
        <v>45701</v>
      </c>
      <c r="C766" t="s">
        <v>201</v>
      </c>
      <c r="D766" t="s">
        <v>10</v>
      </c>
      <c r="E766">
        <v>192940378</v>
      </c>
      <c r="F766">
        <v>0</v>
      </c>
    </row>
    <row r="767" spans="1:6" x14ac:dyDescent="0.25">
      <c r="A767" t="s">
        <v>98</v>
      </c>
      <c r="B767" s="6">
        <v>45701</v>
      </c>
      <c r="C767" t="s">
        <v>201</v>
      </c>
      <c r="D767" t="s">
        <v>180</v>
      </c>
      <c r="E767">
        <v>0</v>
      </c>
      <c r="F767">
        <v>728.80849999999998</v>
      </c>
    </row>
    <row r="768" spans="1:6" x14ac:dyDescent="0.25">
      <c r="A768" t="s">
        <v>98</v>
      </c>
      <c r="B768" s="6">
        <v>45701</v>
      </c>
      <c r="C768" t="s">
        <v>201</v>
      </c>
      <c r="D768" t="s">
        <v>180</v>
      </c>
      <c r="E768">
        <v>466</v>
      </c>
      <c r="F768">
        <v>728.10069999999996</v>
      </c>
    </row>
    <row r="769" spans="1:6" x14ac:dyDescent="0.25">
      <c r="A769" t="s">
        <v>98</v>
      </c>
      <c r="B769" s="6">
        <v>45701</v>
      </c>
      <c r="C769" t="s">
        <v>201</v>
      </c>
      <c r="D769" t="s">
        <v>180</v>
      </c>
      <c r="E769">
        <v>1940</v>
      </c>
      <c r="F769">
        <v>727.0729</v>
      </c>
    </row>
    <row r="770" spans="1:6" x14ac:dyDescent="0.25">
      <c r="A770" t="s">
        <v>98</v>
      </c>
      <c r="B770" s="6">
        <v>45701</v>
      </c>
      <c r="C770" t="s">
        <v>201</v>
      </c>
      <c r="D770" t="s">
        <v>180</v>
      </c>
      <c r="E770">
        <v>3465</v>
      </c>
      <c r="F770">
        <v>725.96220000000005</v>
      </c>
    </row>
    <row r="771" spans="1:6" x14ac:dyDescent="0.25">
      <c r="A771" t="s">
        <v>98</v>
      </c>
      <c r="B771" s="6">
        <v>45701</v>
      </c>
      <c r="C771" t="s">
        <v>201</v>
      </c>
      <c r="D771" t="s">
        <v>180</v>
      </c>
      <c r="E771">
        <v>4678</v>
      </c>
      <c r="F771">
        <v>725.07489999999996</v>
      </c>
    </row>
    <row r="772" spans="1:6" x14ac:dyDescent="0.25">
      <c r="A772" t="s">
        <v>98</v>
      </c>
      <c r="B772" s="6">
        <v>45701</v>
      </c>
      <c r="C772" t="s">
        <v>201</v>
      </c>
      <c r="D772" t="s">
        <v>180</v>
      </c>
      <c r="E772">
        <v>7345</v>
      </c>
      <c r="F772">
        <v>723.92470000000003</v>
      </c>
    </row>
    <row r="773" spans="1:6" x14ac:dyDescent="0.25">
      <c r="A773" t="s">
        <v>98</v>
      </c>
      <c r="B773" s="6">
        <v>45701</v>
      </c>
      <c r="C773" t="s">
        <v>201</v>
      </c>
      <c r="D773" t="s">
        <v>180</v>
      </c>
      <c r="E773">
        <v>10303</v>
      </c>
      <c r="F773">
        <v>723.02940000000001</v>
      </c>
    </row>
    <row r="774" spans="1:6" x14ac:dyDescent="0.25">
      <c r="A774" t="s">
        <v>98</v>
      </c>
      <c r="B774" s="6">
        <v>45701</v>
      </c>
      <c r="C774" t="s">
        <v>201</v>
      </c>
      <c r="D774" t="s">
        <v>180</v>
      </c>
      <c r="E774">
        <v>13630</v>
      </c>
      <c r="F774">
        <v>721.94799999999998</v>
      </c>
    </row>
    <row r="775" spans="1:6" x14ac:dyDescent="0.25">
      <c r="A775" t="s">
        <v>98</v>
      </c>
      <c r="B775" s="6">
        <v>45701</v>
      </c>
      <c r="C775" t="s">
        <v>201</v>
      </c>
      <c r="D775" t="s">
        <v>180</v>
      </c>
      <c r="E775">
        <v>15749</v>
      </c>
      <c r="F775">
        <v>720.99400000000003</v>
      </c>
    </row>
    <row r="776" spans="1:6" x14ac:dyDescent="0.25">
      <c r="A776" t="s">
        <v>98</v>
      </c>
      <c r="B776" s="6">
        <v>45701</v>
      </c>
      <c r="C776" t="s">
        <v>201</v>
      </c>
      <c r="D776" t="s">
        <v>180</v>
      </c>
      <c r="E776">
        <v>17784</v>
      </c>
      <c r="F776">
        <v>719.97019999999998</v>
      </c>
    </row>
    <row r="777" spans="1:6" x14ac:dyDescent="0.25">
      <c r="A777" t="s">
        <v>98</v>
      </c>
      <c r="B777" s="6">
        <v>45701</v>
      </c>
      <c r="C777" t="s">
        <v>201</v>
      </c>
      <c r="D777" t="s">
        <v>180</v>
      </c>
      <c r="E777">
        <v>18654</v>
      </c>
      <c r="F777">
        <v>718.84720000000004</v>
      </c>
    </row>
    <row r="778" spans="1:6" x14ac:dyDescent="0.25">
      <c r="A778" t="s">
        <v>98</v>
      </c>
      <c r="B778" s="6">
        <v>45701</v>
      </c>
      <c r="C778" t="s">
        <v>201</v>
      </c>
      <c r="D778" t="s">
        <v>10</v>
      </c>
      <c r="E778">
        <v>19668</v>
      </c>
      <c r="F778">
        <v>0</v>
      </c>
    </row>
    <row r="779" spans="1:6" x14ac:dyDescent="0.25">
      <c r="A779" t="s">
        <v>98</v>
      </c>
      <c r="B779" s="6">
        <v>45700</v>
      </c>
      <c r="C779" t="s">
        <v>201</v>
      </c>
      <c r="D779" t="s">
        <v>10</v>
      </c>
      <c r="E779">
        <v>192960046</v>
      </c>
      <c r="F779">
        <v>0</v>
      </c>
    </row>
    <row r="780" spans="1:6" x14ac:dyDescent="0.25">
      <c r="A780" t="s">
        <v>98</v>
      </c>
      <c r="B780" s="6">
        <v>45700</v>
      </c>
      <c r="C780" t="s">
        <v>201</v>
      </c>
      <c r="D780" t="s">
        <v>180</v>
      </c>
      <c r="E780">
        <v>0</v>
      </c>
      <c r="F780">
        <v>726.7</v>
      </c>
    </row>
    <row r="781" spans="1:6" x14ac:dyDescent="0.25">
      <c r="A781" t="s">
        <v>98</v>
      </c>
      <c r="B781" s="6">
        <v>45700</v>
      </c>
      <c r="C781" t="s">
        <v>201</v>
      </c>
      <c r="D781" t="s">
        <v>180</v>
      </c>
      <c r="E781">
        <v>300</v>
      </c>
      <c r="F781">
        <v>725.8338</v>
      </c>
    </row>
    <row r="782" spans="1:6" x14ac:dyDescent="0.25">
      <c r="A782" t="s">
        <v>98</v>
      </c>
      <c r="B782" s="6">
        <v>45700</v>
      </c>
      <c r="C782" t="s">
        <v>201</v>
      </c>
      <c r="D782" t="s">
        <v>180</v>
      </c>
      <c r="E782">
        <v>1394</v>
      </c>
      <c r="F782">
        <v>725.01239999999996</v>
      </c>
    </row>
    <row r="783" spans="1:6" x14ac:dyDescent="0.25">
      <c r="A783" t="s">
        <v>98</v>
      </c>
      <c r="B783" s="6">
        <v>45700</v>
      </c>
      <c r="C783" t="s">
        <v>201</v>
      </c>
      <c r="D783" t="s">
        <v>180</v>
      </c>
      <c r="E783">
        <v>5555</v>
      </c>
      <c r="F783">
        <v>724.05870000000004</v>
      </c>
    </row>
    <row r="784" spans="1:6" x14ac:dyDescent="0.25">
      <c r="A784" t="s">
        <v>98</v>
      </c>
      <c r="B784" s="6">
        <v>45700</v>
      </c>
      <c r="C784" t="s">
        <v>201</v>
      </c>
      <c r="D784" t="s">
        <v>180</v>
      </c>
      <c r="E784">
        <v>8335</v>
      </c>
      <c r="F784">
        <v>722.88969999999995</v>
      </c>
    </row>
    <row r="785" spans="1:6" x14ac:dyDescent="0.25">
      <c r="A785" t="s">
        <v>98</v>
      </c>
      <c r="B785" s="6">
        <v>45700</v>
      </c>
      <c r="C785" t="s">
        <v>201</v>
      </c>
      <c r="D785" t="s">
        <v>180</v>
      </c>
      <c r="E785">
        <v>10020</v>
      </c>
      <c r="F785">
        <v>721.54660000000001</v>
      </c>
    </row>
    <row r="786" spans="1:6" x14ac:dyDescent="0.25">
      <c r="A786" t="s">
        <v>98</v>
      </c>
      <c r="B786" s="6">
        <v>45700</v>
      </c>
      <c r="C786" t="s">
        <v>201</v>
      </c>
      <c r="D786" t="s">
        <v>180</v>
      </c>
      <c r="E786">
        <v>11282</v>
      </c>
      <c r="F786">
        <v>720.42139999999995</v>
      </c>
    </row>
    <row r="787" spans="1:6" x14ac:dyDescent="0.25">
      <c r="A787" t="s">
        <v>98</v>
      </c>
      <c r="B787" s="6">
        <v>45700</v>
      </c>
      <c r="C787" t="s">
        <v>201</v>
      </c>
      <c r="D787" t="s">
        <v>180</v>
      </c>
      <c r="E787">
        <v>12916</v>
      </c>
      <c r="F787">
        <v>719.32550000000003</v>
      </c>
    </row>
    <row r="788" spans="1:6" x14ac:dyDescent="0.25">
      <c r="A788" t="s">
        <v>98</v>
      </c>
      <c r="B788" s="6">
        <v>45700</v>
      </c>
      <c r="C788" t="s">
        <v>201</v>
      </c>
      <c r="D788" t="s">
        <v>180</v>
      </c>
      <c r="E788">
        <v>14924</v>
      </c>
      <c r="F788">
        <v>718.27809999999999</v>
      </c>
    </row>
    <row r="789" spans="1:6" x14ac:dyDescent="0.25">
      <c r="A789" t="s">
        <v>98</v>
      </c>
      <c r="B789" s="6">
        <v>45700</v>
      </c>
      <c r="C789" t="s">
        <v>201</v>
      </c>
      <c r="D789" t="s">
        <v>180</v>
      </c>
      <c r="E789">
        <v>17082</v>
      </c>
      <c r="F789">
        <v>717.20849999999996</v>
      </c>
    </row>
    <row r="790" spans="1:6" x14ac:dyDescent="0.25">
      <c r="A790" t="s">
        <v>98</v>
      </c>
      <c r="B790" s="6">
        <v>45700</v>
      </c>
      <c r="C790" t="s">
        <v>201</v>
      </c>
      <c r="D790" t="s">
        <v>180</v>
      </c>
      <c r="E790">
        <v>17787</v>
      </c>
      <c r="F790">
        <v>716.31380000000001</v>
      </c>
    </row>
    <row r="791" spans="1:6" x14ac:dyDescent="0.25">
      <c r="A791" t="s">
        <v>98</v>
      </c>
      <c r="B791" s="6">
        <v>45700</v>
      </c>
      <c r="C791" t="s">
        <v>201</v>
      </c>
      <c r="D791" t="s">
        <v>180</v>
      </c>
      <c r="E791">
        <v>19068</v>
      </c>
      <c r="F791">
        <v>715.15880000000004</v>
      </c>
    </row>
    <row r="792" spans="1:6" x14ac:dyDescent="0.25">
      <c r="A792" t="s">
        <v>98</v>
      </c>
      <c r="B792" s="6">
        <v>45700</v>
      </c>
      <c r="C792" t="s">
        <v>201</v>
      </c>
      <c r="D792" t="s">
        <v>180</v>
      </c>
      <c r="E792">
        <v>19468</v>
      </c>
      <c r="F792">
        <v>714.15</v>
      </c>
    </row>
    <row r="793" spans="1:6" x14ac:dyDescent="0.25">
      <c r="A793" t="s">
        <v>98</v>
      </c>
      <c r="B793" s="6">
        <v>45700</v>
      </c>
      <c r="C793" t="s">
        <v>201</v>
      </c>
      <c r="D793" t="s">
        <v>10</v>
      </c>
      <c r="E793">
        <v>19668</v>
      </c>
      <c r="F793">
        <v>0</v>
      </c>
    </row>
    <row r="794" spans="1:6" x14ac:dyDescent="0.25">
      <c r="A794" t="s">
        <v>98</v>
      </c>
      <c r="B794" s="6">
        <v>45699</v>
      </c>
      <c r="C794" t="s">
        <v>195</v>
      </c>
      <c r="D794" t="s">
        <v>180</v>
      </c>
      <c r="E794">
        <v>27488</v>
      </c>
      <c r="F794">
        <v>713.32</v>
      </c>
    </row>
    <row r="795" spans="1:6" x14ac:dyDescent="0.25">
      <c r="A795" t="s">
        <v>98</v>
      </c>
      <c r="B795" s="6">
        <v>45699</v>
      </c>
      <c r="C795" t="s">
        <v>201</v>
      </c>
      <c r="D795" t="s">
        <v>10</v>
      </c>
      <c r="E795">
        <v>192979714</v>
      </c>
      <c r="F795">
        <v>0</v>
      </c>
    </row>
    <row r="796" spans="1:6" x14ac:dyDescent="0.25">
      <c r="A796" t="s">
        <v>98</v>
      </c>
      <c r="B796" s="6">
        <v>45699</v>
      </c>
      <c r="C796" t="s">
        <v>201</v>
      </c>
      <c r="D796" t="s">
        <v>180</v>
      </c>
      <c r="E796">
        <v>0</v>
      </c>
      <c r="F796">
        <v>723.54</v>
      </c>
    </row>
    <row r="797" spans="1:6" x14ac:dyDescent="0.25">
      <c r="A797" t="s">
        <v>98</v>
      </c>
      <c r="B797" s="6">
        <v>45699</v>
      </c>
      <c r="C797" t="s">
        <v>201</v>
      </c>
      <c r="D797" t="s">
        <v>180</v>
      </c>
      <c r="E797">
        <v>90</v>
      </c>
      <c r="F797">
        <v>722.74770000000001</v>
      </c>
    </row>
    <row r="798" spans="1:6" x14ac:dyDescent="0.25">
      <c r="A798" t="s">
        <v>98</v>
      </c>
      <c r="B798" s="6">
        <v>45699</v>
      </c>
      <c r="C798" t="s">
        <v>201</v>
      </c>
      <c r="D798" t="s">
        <v>180</v>
      </c>
      <c r="E798">
        <v>1945</v>
      </c>
      <c r="F798">
        <v>721.82749999999999</v>
      </c>
    </row>
    <row r="799" spans="1:6" x14ac:dyDescent="0.25">
      <c r="A799" t="s">
        <v>98</v>
      </c>
      <c r="B799" s="6">
        <v>45699</v>
      </c>
      <c r="C799" t="s">
        <v>201</v>
      </c>
      <c r="D799" t="s">
        <v>180</v>
      </c>
      <c r="E799">
        <v>3100</v>
      </c>
      <c r="F799">
        <v>720.8125</v>
      </c>
    </row>
    <row r="800" spans="1:6" x14ac:dyDescent="0.25">
      <c r="A800" t="s">
        <v>98</v>
      </c>
      <c r="B800" s="6">
        <v>45699</v>
      </c>
      <c r="C800" t="s">
        <v>201</v>
      </c>
      <c r="D800" t="s">
        <v>180</v>
      </c>
      <c r="E800">
        <v>5406</v>
      </c>
      <c r="F800">
        <v>719.76700000000005</v>
      </c>
    </row>
    <row r="801" spans="1:6" x14ac:dyDescent="0.25">
      <c r="A801" t="s">
        <v>98</v>
      </c>
      <c r="B801" s="6">
        <v>45699</v>
      </c>
      <c r="C801" t="s">
        <v>201</v>
      </c>
      <c r="D801" t="s">
        <v>180</v>
      </c>
      <c r="E801">
        <v>6550</v>
      </c>
      <c r="F801">
        <v>718.59479999999996</v>
      </c>
    </row>
    <row r="802" spans="1:6" x14ac:dyDescent="0.25">
      <c r="A802" t="s">
        <v>98</v>
      </c>
      <c r="B802" s="6">
        <v>45699</v>
      </c>
      <c r="C802" t="s">
        <v>201</v>
      </c>
      <c r="D802" t="s">
        <v>180</v>
      </c>
      <c r="E802">
        <v>7240</v>
      </c>
      <c r="F802">
        <v>717.64760000000001</v>
      </c>
    </row>
    <row r="803" spans="1:6" x14ac:dyDescent="0.25">
      <c r="A803" t="s">
        <v>98</v>
      </c>
      <c r="B803" s="6">
        <v>45699</v>
      </c>
      <c r="C803" t="s">
        <v>201</v>
      </c>
      <c r="D803" t="s">
        <v>180</v>
      </c>
      <c r="E803">
        <v>9870</v>
      </c>
      <c r="F803">
        <v>716.59879999999998</v>
      </c>
    </row>
    <row r="804" spans="1:6" x14ac:dyDescent="0.25">
      <c r="A804" t="s">
        <v>98</v>
      </c>
      <c r="B804" s="6">
        <v>45699</v>
      </c>
      <c r="C804" t="s">
        <v>201</v>
      </c>
      <c r="D804" t="s">
        <v>180</v>
      </c>
      <c r="E804">
        <v>12407</v>
      </c>
      <c r="F804">
        <v>715.59640000000002</v>
      </c>
    </row>
    <row r="805" spans="1:6" x14ac:dyDescent="0.25">
      <c r="A805" t="s">
        <v>98</v>
      </c>
      <c r="B805" s="6">
        <v>45699</v>
      </c>
      <c r="C805" t="s">
        <v>201</v>
      </c>
      <c r="D805" t="s">
        <v>180</v>
      </c>
      <c r="E805">
        <v>14158</v>
      </c>
      <c r="F805">
        <v>714.53009999999995</v>
      </c>
    </row>
    <row r="806" spans="1:6" x14ac:dyDescent="0.25">
      <c r="A806" t="s">
        <v>98</v>
      </c>
      <c r="B806" s="6">
        <v>45699</v>
      </c>
      <c r="C806" t="s">
        <v>201</v>
      </c>
      <c r="D806" t="s">
        <v>180</v>
      </c>
      <c r="E806">
        <v>16954</v>
      </c>
      <c r="F806">
        <v>713.48800000000006</v>
      </c>
    </row>
    <row r="807" spans="1:6" x14ac:dyDescent="0.25">
      <c r="A807" t="s">
        <v>98</v>
      </c>
      <c r="B807" s="6">
        <v>45699</v>
      </c>
      <c r="C807" t="s">
        <v>201</v>
      </c>
      <c r="D807" t="s">
        <v>180</v>
      </c>
      <c r="E807">
        <v>18281</v>
      </c>
      <c r="F807">
        <v>712.34590000000003</v>
      </c>
    </row>
    <row r="808" spans="1:6" x14ac:dyDescent="0.25">
      <c r="A808" t="s">
        <v>98</v>
      </c>
      <c r="B808" s="6">
        <v>45699</v>
      </c>
      <c r="C808" t="s">
        <v>201</v>
      </c>
      <c r="D808" t="s">
        <v>180</v>
      </c>
      <c r="E808">
        <v>19568</v>
      </c>
      <c r="F808">
        <v>710.21</v>
      </c>
    </row>
    <row r="809" spans="1:6" x14ac:dyDescent="0.25">
      <c r="A809" t="s">
        <v>98</v>
      </c>
      <c r="B809" s="6">
        <v>45699</v>
      </c>
      <c r="C809" t="s">
        <v>201</v>
      </c>
      <c r="D809" t="s">
        <v>10</v>
      </c>
      <c r="E809">
        <v>19668</v>
      </c>
      <c r="F809">
        <v>0</v>
      </c>
    </row>
    <row r="810" spans="1:6" x14ac:dyDescent="0.25">
      <c r="A810" t="s">
        <v>98</v>
      </c>
      <c r="B810" s="6">
        <v>45698</v>
      </c>
      <c r="C810" t="s">
        <v>201</v>
      </c>
      <c r="D810" t="s">
        <v>10</v>
      </c>
      <c r="E810">
        <v>192999382</v>
      </c>
      <c r="F810">
        <v>0</v>
      </c>
    </row>
    <row r="811" spans="1:6" x14ac:dyDescent="0.25">
      <c r="A811" t="s">
        <v>98</v>
      </c>
      <c r="B811" s="6">
        <v>45698</v>
      </c>
      <c r="C811" t="s">
        <v>201</v>
      </c>
      <c r="D811" t="s">
        <v>180</v>
      </c>
      <c r="E811">
        <v>141000</v>
      </c>
      <c r="F811">
        <v>720.38</v>
      </c>
    </row>
    <row r="812" spans="1:6" x14ac:dyDescent="0.25">
      <c r="A812" t="s">
        <v>98</v>
      </c>
      <c r="B812" s="6">
        <v>45698</v>
      </c>
      <c r="C812" t="s">
        <v>201</v>
      </c>
      <c r="D812" t="s">
        <v>180</v>
      </c>
      <c r="E812">
        <v>141075</v>
      </c>
      <c r="F812">
        <v>718.72040000000004</v>
      </c>
    </row>
    <row r="813" spans="1:6" x14ac:dyDescent="0.25">
      <c r="A813" t="s">
        <v>98</v>
      </c>
      <c r="B813" s="6">
        <v>45698</v>
      </c>
      <c r="C813" t="s">
        <v>201</v>
      </c>
      <c r="D813" t="s">
        <v>180</v>
      </c>
      <c r="E813">
        <v>141547</v>
      </c>
      <c r="F813">
        <v>717.47889999999995</v>
      </c>
    </row>
    <row r="814" spans="1:6" x14ac:dyDescent="0.25">
      <c r="A814" t="s">
        <v>98</v>
      </c>
      <c r="B814" s="6">
        <v>45698</v>
      </c>
      <c r="C814" t="s">
        <v>201</v>
      </c>
      <c r="D814" t="s">
        <v>180</v>
      </c>
      <c r="E814">
        <v>142517</v>
      </c>
      <c r="F814">
        <v>716.51890000000003</v>
      </c>
    </row>
    <row r="815" spans="1:6" x14ac:dyDescent="0.25">
      <c r="A815" t="s">
        <v>98</v>
      </c>
      <c r="B815" s="6">
        <v>45698</v>
      </c>
      <c r="C815" t="s">
        <v>201</v>
      </c>
      <c r="D815" t="s">
        <v>180</v>
      </c>
      <c r="E815">
        <v>143244</v>
      </c>
      <c r="F815">
        <v>715.17520000000002</v>
      </c>
    </row>
    <row r="816" spans="1:6" x14ac:dyDescent="0.25">
      <c r="A816" t="s">
        <v>98</v>
      </c>
      <c r="B816" s="6">
        <v>45698</v>
      </c>
      <c r="C816" t="s">
        <v>201</v>
      </c>
      <c r="D816" t="s">
        <v>180</v>
      </c>
      <c r="E816">
        <v>144705</v>
      </c>
      <c r="F816">
        <v>714.25409999999999</v>
      </c>
    </row>
    <row r="817" spans="1:6" x14ac:dyDescent="0.25">
      <c r="A817" t="s">
        <v>98</v>
      </c>
      <c r="B817" s="6">
        <v>45698</v>
      </c>
      <c r="C817" t="s">
        <v>201</v>
      </c>
      <c r="D817" t="s">
        <v>180</v>
      </c>
      <c r="E817">
        <v>145904</v>
      </c>
      <c r="F817">
        <v>713.04499999999996</v>
      </c>
    </row>
    <row r="818" spans="1:6" x14ac:dyDescent="0.25">
      <c r="A818" t="s">
        <v>98</v>
      </c>
      <c r="B818" s="6">
        <v>45698</v>
      </c>
      <c r="C818" t="s">
        <v>201</v>
      </c>
      <c r="D818" t="s">
        <v>180</v>
      </c>
      <c r="E818">
        <v>0</v>
      </c>
      <c r="F818">
        <v>720.64790000000005</v>
      </c>
    </row>
    <row r="819" spans="1:6" x14ac:dyDescent="0.25">
      <c r="A819" t="s">
        <v>98</v>
      </c>
      <c r="B819" s="6">
        <v>45698</v>
      </c>
      <c r="C819" t="s">
        <v>201</v>
      </c>
      <c r="D819" t="s">
        <v>180</v>
      </c>
      <c r="E819">
        <v>235</v>
      </c>
      <c r="F819">
        <v>719.24329999999998</v>
      </c>
    </row>
    <row r="820" spans="1:6" x14ac:dyDescent="0.25">
      <c r="A820" t="s">
        <v>98</v>
      </c>
      <c r="B820" s="6">
        <v>45698</v>
      </c>
      <c r="C820" t="s">
        <v>201</v>
      </c>
      <c r="D820" t="s">
        <v>180</v>
      </c>
      <c r="E820">
        <v>1310</v>
      </c>
      <c r="F820">
        <v>718.2201</v>
      </c>
    </row>
    <row r="821" spans="1:6" x14ac:dyDescent="0.25">
      <c r="A821" t="s">
        <v>98</v>
      </c>
      <c r="B821" s="6">
        <v>45698</v>
      </c>
      <c r="C821" t="s">
        <v>201</v>
      </c>
      <c r="D821" t="s">
        <v>180</v>
      </c>
      <c r="E821">
        <v>4119</v>
      </c>
      <c r="F821">
        <v>717.16520000000003</v>
      </c>
    </row>
    <row r="822" spans="1:6" x14ac:dyDescent="0.25">
      <c r="A822" t="s">
        <v>98</v>
      </c>
      <c r="B822" s="6">
        <v>45698</v>
      </c>
      <c r="C822" t="s">
        <v>201</v>
      </c>
      <c r="D822" t="s">
        <v>180</v>
      </c>
      <c r="E822">
        <v>9487</v>
      </c>
      <c r="F822">
        <v>716.14170000000001</v>
      </c>
    </row>
    <row r="823" spans="1:6" x14ac:dyDescent="0.25">
      <c r="A823" t="s">
        <v>98</v>
      </c>
      <c r="B823" s="6">
        <v>45698</v>
      </c>
      <c r="C823" t="s">
        <v>201</v>
      </c>
      <c r="D823" t="s">
        <v>180</v>
      </c>
      <c r="E823">
        <v>14672</v>
      </c>
      <c r="F823">
        <v>715.13480000000004</v>
      </c>
    </row>
    <row r="824" spans="1:6" x14ac:dyDescent="0.25">
      <c r="A824" t="s">
        <v>98</v>
      </c>
      <c r="B824" s="6">
        <v>45698</v>
      </c>
      <c r="C824" t="s">
        <v>201</v>
      </c>
      <c r="D824" t="s">
        <v>180</v>
      </c>
      <c r="E824">
        <v>22091</v>
      </c>
      <c r="F824">
        <v>714.30809999999997</v>
      </c>
    </row>
    <row r="825" spans="1:6" x14ac:dyDescent="0.25">
      <c r="A825" t="s">
        <v>98</v>
      </c>
      <c r="B825" s="6">
        <v>45698</v>
      </c>
      <c r="C825" t="s">
        <v>201</v>
      </c>
      <c r="D825" t="s">
        <v>180</v>
      </c>
      <c r="E825">
        <v>28731</v>
      </c>
      <c r="F825">
        <v>713.21249999999998</v>
      </c>
    </row>
    <row r="826" spans="1:6" x14ac:dyDescent="0.25">
      <c r="A826" t="s">
        <v>98</v>
      </c>
      <c r="B826" s="6">
        <v>45698</v>
      </c>
      <c r="C826" t="s">
        <v>201</v>
      </c>
      <c r="D826" t="s">
        <v>180</v>
      </c>
      <c r="E826">
        <v>30113</v>
      </c>
      <c r="F826">
        <v>712.20119999999997</v>
      </c>
    </row>
    <row r="827" spans="1:6" x14ac:dyDescent="0.25">
      <c r="A827" t="s">
        <v>98</v>
      </c>
      <c r="B827" s="6">
        <v>45698</v>
      </c>
      <c r="C827" t="s">
        <v>201</v>
      </c>
      <c r="D827" t="s">
        <v>10</v>
      </c>
      <c r="E827">
        <v>30699</v>
      </c>
      <c r="F827">
        <v>0</v>
      </c>
    </row>
    <row r="828" spans="1:6" x14ac:dyDescent="0.25">
      <c r="A828" t="s">
        <v>98</v>
      </c>
      <c r="B828" s="6">
        <v>45698</v>
      </c>
      <c r="C828" t="s">
        <v>205</v>
      </c>
      <c r="D828" t="s">
        <v>74</v>
      </c>
      <c r="E828">
        <v>9945</v>
      </c>
      <c r="F828">
        <v>0</v>
      </c>
    </row>
    <row r="829" spans="1:6" x14ac:dyDescent="0.25">
      <c r="A829" t="s">
        <v>98</v>
      </c>
      <c r="B829" s="6">
        <v>45695</v>
      </c>
      <c r="C829" t="s">
        <v>201</v>
      </c>
      <c r="D829" t="s">
        <v>10</v>
      </c>
      <c r="E829">
        <v>193030081</v>
      </c>
      <c r="F829">
        <v>0</v>
      </c>
    </row>
    <row r="830" spans="1:6" x14ac:dyDescent="0.25">
      <c r="A830" t="s">
        <v>98</v>
      </c>
      <c r="B830" s="6">
        <v>45695</v>
      </c>
      <c r="C830" t="s">
        <v>201</v>
      </c>
      <c r="D830" t="s">
        <v>180</v>
      </c>
      <c r="E830">
        <v>146096</v>
      </c>
      <c r="F830">
        <v>724.27850000000001</v>
      </c>
    </row>
    <row r="831" spans="1:6" x14ac:dyDescent="0.25">
      <c r="A831" t="s">
        <v>98</v>
      </c>
      <c r="B831" s="6">
        <v>45695</v>
      </c>
      <c r="C831" t="s">
        <v>201</v>
      </c>
      <c r="D831" t="s">
        <v>180</v>
      </c>
      <c r="E831">
        <v>146360</v>
      </c>
      <c r="F831">
        <v>723.37599999999998</v>
      </c>
    </row>
    <row r="832" spans="1:6" x14ac:dyDescent="0.25">
      <c r="A832" t="s">
        <v>98</v>
      </c>
      <c r="B832" s="6">
        <v>45695</v>
      </c>
      <c r="C832" t="s">
        <v>201</v>
      </c>
      <c r="D832" t="s">
        <v>180</v>
      </c>
      <c r="E832">
        <v>147144</v>
      </c>
      <c r="F832">
        <v>722.13879999999995</v>
      </c>
    </row>
    <row r="833" spans="1:6" x14ac:dyDescent="0.25">
      <c r="A833" t="s">
        <v>98</v>
      </c>
      <c r="B833" s="6">
        <v>45695</v>
      </c>
      <c r="C833" t="s">
        <v>201</v>
      </c>
      <c r="D833" t="s">
        <v>180</v>
      </c>
      <c r="E833">
        <v>147827</v>
      </c>
      <c r="F833">
        <v>721.26089999999999</v>
      </c>
    </row>
    <row r="834" spans="1:6" x14ac:dyDescent="0.25">
      <c r="A834" t="s">
        <v>98</v>
      </c>
      <c r="B834" s="6">
        <v>45695</v>
      </c>
      <c r="C834" t="s">
        <v>201</v>
      </c>
      <c r="D834" t="s">
        <v>180</v>
      </c>
      <c r="E834">
        <v>149043</v>
      </c>
      <c r="F834">
        <v>720.00239999999997</v>
      </c>
    </row>
    <row r="835" spans="1:6" x14ac:dyDescent="0.25">
      <c r="A835" t="s">
        <v>98</v>
      </c>
      <c r="B835" s="6">
        <v>45695</v>
      </c>
      <c r="C835" t="s">
        <v>201</v>
      </c>
      <c r="D835" t="s">
        <v>180</v>
      </c>
      <c r="E835">
        <v>149528</v>
      </c>
      <c r="F835">
        <v>719.03779999999995</v>
      </c>
    </row>
    <row r="836" spans="1:6" x14ac:dyDescent="0.25">
      <c r="A836" t="s">
        <v>98</v>
      </c>
      <c r="B836" s="6">
        <v>45695</v>
      </c>
      <c r="C836" t="s">
        <v>201</v>
      </c>
      <c r="D836" t="s">
        <v>180</v>
      </c>
      <c r="E836">
        <v>150250</v>
      </c>
      <c r="F836">
        <v>717.88670000000002</v>
      </c>
    </row>
    <row r="837" spans="1:6" x14ac:dyDescent="0.25">
      <c r="A837" t="s">
        <v>98</v>
      </c>
      <c r="B837" s="6">
        <v>45695</v>
      </c>
      <c r="C837" t="s">
        <v>201</v>
      </c>
      <c r="D837" t="s">
        <v>180</v>
      </c>
      <c r="E837">
        <v>151221</v>
      </c>
      <c r="F837">
        <v>716.84479999999996</v>
      </c>
    </row>
    <row r="838" spans="1:6" x14ac:dyDescent="0.25">
      <c r="A838" t="s">
        <v>98</v>
      </c>
      <c r="B838" s="6">
        <v>45695</v>
      </c>
      <c r="C838" t="s">
        <v>201</v>
      </c>
      <c r="D838" t="s">
        <v>180</v>
      </c>
      <c r="E838">
        <v>153202</v>
      </c>
      <c r="F838">
        <v>715.8415</v>
      </c>
    </row>
    <row r="839" spans="1:6" x14ac:dyDescent="0.25">
      <c r="A839" t="s">
        <v>98</v>
      </c>
      <c r="B839" s="6">
        <v>45695</v>
      </c>
      <c r="C839" t="s">
        <v>201</v>
      </c>
      <c r="D839" t="s">
        <v>180</v>
      </c>
      <c r="E839">
        <v>156770</v>
      </c>
      <c r="F839">
        <v>714.81560000000002</v>
      </c>
    </row>
    <row r="840" spans="1:6" x14ac:dyDescent="0.25">
      <c r="A840" t="s">
        <v>98</v>
      </c>
      <c r="B840" s="6">
        <v>45695</v>
      </c>
      <c r="C840" t="s">
        <v>201</v>
      </c>
      <c r="D840" t="s">
        <v>180</v>
      </c>
      <c r="E840">
        <v>158478</v>
      </c>
      <c r="F840">
        <v>713.64769999999999</v>
      </c>
    </row>
    <row r="841" spans="1:6" x14ac:dyDescent="0.25">
      <c r="A841" t="s">
        <v>98</v>
      </c>
      <c r="B841" s="6">
        <v>45695</v>
      </c>
      <c r="C841" t="s">
        <v>201</v>
      </c>
      <c r="D841" t="s">
        <v>180</v>
      </c>
      <c r="E841">
        <v>158875</v>
      </c>
      <c r="F841">
        <v>712.36239999999998</v>
      </c>
    </row>
    <row r="842" spans="1:6" x14ac:dyDescent="0.25">
      <c r="A842" t="s">
        <v>98</v>
      </c>
      <c r="B842" s="6">
        <v>45695</v>
      </c>
      <c r="C842" t="s">
        <v>201</v>
      </c>
      <c r="D842" t="s">
        <v>180</v>
      </c>
      <c r="E842">
        <v>0</v>
      </c>
      <c r="F842">
        <v>724.26329999999996</v>
      </c>
    </row>
    <row r="843" spans="1:6" x14ac:dyDescent="0.25">
      <c r="A843" t="s">
        <v>98</v>
      </c>
      <c r="B843" s="6">
        <v>45695</v>
      </c>
      <c r="C843" t="s">
        <v>201</v>
      </c>
      <c r="D843" t="s">
        <v>180</v>
      </c>
      <c r="E843">
        <v>600</v>
      </c>
      <c r="F843">
        <v>723.40949999999998</v>
      </c>
    </row>
    <row r="844" spans="1:6" x14ac:dyDescent="0.25">
      <c r="A844" t="s">
        <v>98</v>
      </c>
      <c r="B844" s="6">
        <v>45695</v>
      </c>
      <c r="C844" t="s">
        <v>201</v>
      </c>
      <c r="D844" t="s">
        <v>180</v>
      </c>
      <c r="E844">
        <v>2759</v>
      </c>
      <c r="F844">
        <v>722.37300000000005</v>
      </c>
    </row>
    <row r="845" spans="1:6" x14ac:dyDescent="0.25">
      <c r="A845" t="s">
        <v>98</v>
      </c>
      <c r="B845" s="6">
        <v>45695</v>
      </c>
      <c r="C845" t="s">
        <v>201</v>
      </c>
      <c r="D845" t="s">
        <v>180</v>
      </c>
      <c r="E845">
        <v>6085</v>
      </c>
      <c r="F845">
        <v>721.4864</v>
      </c>
    </row>
    <row r="846" spans="1:6" x14ac:dyDescent="0.25">
      <c r="A846" t="s">
        <v>98</v>
      </c>
      <c r="B846" s="6">
        <v>45695</v>
      </c>
      <c r="C846" t="s">
        <v>201</v>
      </c>
      <c r="D846" t="s">
        <v>180</v>
      </c>
      <c r="E846">
        <v>9218</v>
      </c>
      <c r="F846">
        <v>720.45339999999999</v>
      </c>
    </row>
    <row r="847" spans="1:6" x14ac:dyDescent="0.25">
      <c r="A847" t="s">
        <v>98</v>
      </c>
      <c r="B847" s="6">
        <v>45695</v>
      </c>
      <c r="C847" t="s">
        <v>201</v>
      </c>
      <c r="D847" t="s">
        <v>180</v>
      </c>
      <c r="E847">
        <v>11665</v>
      </c>
      <c r="F847">
        <v>719.36019999999996</v>
      </c>
    </row>
    <row r="848" spans="1:6" x14ac:dyDescent="0.25">
      <c r="A848" t="s">
        <v>98</v>
      </c>
      <c r="B848" s="6">
        <v>45695</v>
      </c>
      <c r="C848" t="s">
        <v>201</v>
      </c>
      <c r="D848" t="s">
        <v>180</v>
      </c>
      <c r="E848">
        <v>12472</v>
      </c>
      <c r="F848">
        <v>718.38710000000003</v>
      </c>
    </row>
    <row r="849" spans="1:6" x14ac:dyDescent="0.25">
      <c r="A849" t="s">
        <v>98</v>
      </c>
      <c r="B849" s="6">
        <v>45695</v>
      </c>
      <c r="C849" t="s">
        <v>201</v>
      </c>
      <c r="D849" t="s">
        <v>180</v>
      </c>
      <c r="E849">
        <v>14885</v>
      </c>
      <c r="F849">
        <v>717.33960000000002</v>
      </c>
    </row>
    <row r="850" spans="1:6" x14ac:dyDescent="0.25">
      <c r="A850" t="s">
        <v>98</v>
      </c>
      <c r="B850" s="6">
        <v>45695</v>
      </c>
      <c r="C850" t="s">
        <v>201</v>
      </c>
      <c r="D850" t="s">
        <v>180</v>
      </c>
      <c r="E850">
        <v>20336</v>
      </c>
      <c r="F850">
        <v>716.245</v>
      </c>
    </row>
    <row r="851" spans="1:6" x14ac:dyDescent="0.25">
      <c r="A851" t="s">
        <v>98</v>
      </c>
      <c r="B851" s="6">
        <v>45695</v>
      </c>
      <c r="C851" t="s">
        <v>201</v>
      </c>
      <c r="D851" t="s">
        <v>180</v>
      </c>
      <c r="E851">
        <v>28441</v>
      </c>
      <c r="F851">
        <v>715.41520000000003</v>
      </c>
    </row>
    <row r="852" spans="1:6" x14ac:dyDescent="0.25">
      <c r="A852" t="s">
        <v>98</v>
      </c>
      <c r="B852" s="6">
        <v>45695</v>
      </c>
      <c r="C852" t="s">
        <v>201</v>
      </c>
      <c r="D852" t="s">
        <v>180</v>
      </c>
      <c r="E852">
        <v>37741</v>
      </c>
      <c r="F852">
        <v>714.46600000000001</v>
      </c>
    </row>
    <row r="853" spans="1:6" x14ac:dyDescent="0.25">
      <c r="A853" t="s">
        <v>98</v>
      </c>
      <c r="B853" s="6">
        <v>45695</v>
      </c>
      <c r="C853" t="s">
        <v>201</v>
      </c>
      <c r="D853" t="s">
        <v>180</v>
      </c>
      <c r="E853">
        <v>41434</v>
      </c>
      <c r="F853">
        <v>713.02229999999997</v>
      </c>
    </row>
    <row r="854" spans="1:6" x14ac:dyDescent="0.25">
      <c r="A854" t="s">
        <v>98</v>
      </c>
      <c r="B854" s="6">
        <v>45695</v>
      </c>
      <c r="C854" t="s">
        <v>201</v>
      </c>
      <c r="D854" t="s">
        <v>10</v>
      </c>
      <c r="E854">
        <v>42614</v>
      </c>
      <c r="F854">
        <v>0</v>
      </c>
    </row>
    <row r="855" spans="1:6" x14ac:dyDescent="0.25">
      <c r="A855" t="s">
        <v>98</v>
      </c>
      <c r="B855" s="6">
        <v>45694</v>
      </c>
      <c r="C855" t="s">
        <v>201</v>
      </c>
      <c r="D855" t="s">
        <v>10</v>
      </c>
      <c r="E855">
        <v>193072695</v>
      </c>
      <c r="F855">
        <v>0</v>
      </c>
    </row>
    <row r="856" spans="1:6" x14ac:dyDescent="0.25">
      <c r="A856" t="s">
        <v>98</v>
      </c>
      <c r="B856" s="6">
        <v>45694</v>
      </c>
      <c r="C856" t="s">
        <v>201</v>
      </c>
      <c r="D856" t="s">
        <v>180</v>
      </c>
      <c r="E856">
        <v>159071</v>
      </c>
      <c r="F856">
        <v>718.25</v>
      </c>
    </row>
    <row r="857" spans="1:6" x14ac:dyDescent="0.25">
      <c r="A857" t="s">
        <v>98</v>
      </c>
      <c r="B857" s="6">
        <v>45694</v>
      </c>
      <c r="C857" t="s">
        <v>201</v>
      </c>
      <c r="D857" t="s">
        <v>180</v>
      </c>
      <c r="E857">
        <v>159173</v>
      </c>
      <c r="F857">
        <v>717.15509999999995</v>
      </c>
    </row>
    <row r="858" spans="1:6" x14ac:dyDescent="0.25">
      <c r="A858" t="s">
        <v>98</v>
      </c>
      <c r="B858" s="6">
        <v>45694</v>
      </c>
      <c r="C858" t="s">
        <v>201</v>
      </c>
      <c r="D858" t="s">
        <v>180</v>
      </c>
      <c r="E858">
        <v>159858</v>
      </c>
      <c r="F858">
        <v>716.06799999999998</v>
      </c>
    </row>
    <row r="859" spans="1:6" x14ac:dyDescent="0.25">
      <c r="A859" t="s">
        <v>98</v>
      </c>
      <c r="B859" s="6">
        <v>45694</v>
      </c>
      <c r="C859" t="s">
        <v>201</v>
      </c>
      <c r="D859" t="s">
        <v>180</v>
      </c>
      <c r="E859">
        <v>160828</v>
      </c>
      <c r="F859">
        <v>715.00969999999995</v>
      </c>
    </row>
    <row r="860" spans="1:6" x14ac:dyDescent="0.25">
      <c r="A860" t="s">
        <v>98</v>
      </c>
      <c r="B860" s="6">
        <v>45694</v>
      </c>
      <c r="C860" t="s">
        <v>201</v>
      </c>
      <c r="D860" t="s">
        <v>180</v>
      </c>
      <c r="E860">
        <v>162417</v>
      </c>
      <c r="F860">
        <v>713.90049999999997</v>
      </c>
    </row>
    <row r="861" spans="1:6" x14ac:dyDescent="0.25">
      <c r="A861" t="s">
        <v>98</v>
      </c>
      <c r="B861" s="6">
        <v>45694</v>
      </c>
      <c r="C861" t="s">
        <v>201</v>
      </c>
      <c r="D861" t="s">
        <v>180</v>
      </c>
      <c r="E861">
        <v>162823</v>
      </c>
      <c r="F861">
        <v>712.79380000000003</v>
      </c>
    </row>
    <row r="862" spans="1:6" x14ac:dyDescent="0.25">
      <c r="A862" t="s">
        <v>98</v>
      </c>
      <c r="B862" s="6">
        <v>45694</v>
      </c>
      <c r="C862" t="s">
        <v>201</v>
      </c>
      <c r="D862" t="s">
        <v>180</v>
      </c>
      <c r="E862">
        <v>164215</v>
      </c>
      <c r="F862">
        <v>711.79840000000002</v>
      </c>
    </row>
    <row r="863" spans="1:6" x14ac:dyDescent="0.25">
      <c r="A863" t="s">
        <v>98</v>
      </c>
      <c r="B863" s="6">
        <v>45694</v>
      </c>
      <c r="C863" t="s">
        <v>201</v>
      </c>
      <c r="D863" t="s">
        <v>180</v>
      </c>
      <c r="E863">
        <v>165798</v>
      </c>
      <c r="F863">
        <v>710.69230000000005</v>
      </c>
    </row>
    <row r="864" spans="1:6" x14ac:dyDescent="0.25">
      <c r="A864" t="s">
        <v>98</v>
      </c>
      <c r="B864" s="6">
        <v>45694</v>
      </c>
      <c r="C864" t="s">
        <v>201</v>
      </c>
      <c r="D864" t="s">
        <v>180</v>
      </c>
      <c r="E864">
        <v>167088</v>
      </c>
      <c r="F864">
        <v>709.5865</v>
      </c>
    </row>
    <row r="865" spans="1:6" x14ac:dyDescent="0.25">
      <c r="A865" t="s">
        <v>98</v>
      </c>
      <c r="B865" s="6">
        <v>45694</v>
      </c>
      <c r="C865" t="s">
        <v>201</v>
      </c>
      <c r="D865" t="s">
        <v>180</v>
      </c>
      <c r="E865">
        <v>168023</v>
      </c>
      <c r="F865">
        <v>708.79079999999999</v>
      </c>
    </row>
    <row r="866" spans="1:6" x14ac:dyDescent="0.25">
      <c r="A866" t="s">
        <v>98</v>
      </c>
      <c r="B866" s="6">
        <v>45694</v>
      </c>
      <c r="C866" t="s">
        <v>201</v>
      </c>
      <c r="D866" t="s">
        <v>180</v>
      </c>
      <c r="E866">
        <v>169449</v>
      </c>
      <c r="F866">
        <v>707.30700000000002</v>
      </c>
    </row>
    <row r="867" spans="1:6" x14ac:dyDescent="0.25">
      <c r="A867" t="s">
        <v>98</v>
      </c>
      <c r="B867" s="6">
        <v>45694</v>
      </c>
      <c r="C867" t="s">
        <v>201</v>
      </c>
      <c r="D867" t="s">
        <v>180</v>
      </c>
      <c r="E867">
        <v>170320</v>
      </c>
      <c r="F867">
        <v>706.08640000000003</v>
      </c>
    </row>
    <row r="868" spans="1:6" x14ac:dyDescent="0.25">
      <c r="A868" t="s">
        <v>98</v>
      </c>
      <c r="B868" s="6">
        <v>45694</v>
      </c>
      <c r="C868" t="s">
        <v>201</v>
      </c>
      <c r="D868" t="s">
        <v>180</v>
      </c>
      <c r="E868">
        <v>171257</v>
      </c>
      <c r="F868">
        <v>704.97680000000003</v>
      </c>
    </row>
    <row r="869" spans="1:6" x14ac:dyDescent="0.25">
      <c r="A869" t="s">
        <v>98</v>
      </c>
      <c r="B869" s="6">
        <v>45694</v>
      </c>
      <c r="C869" t="s">
        <v>201</v>
      </c>
      <c r="D869" t="s">
        <v>180</v>
      </c>
      <c r="E869">
        <v>0</v>
      </c>
      <c r="F869">
        <v>718.5521</v>
      </c>
    </row>
    <row r="870" spans="1:6" x14ac:dyDescent="0.25">
      <c r="A870" t="s">
        <v>98</v>
      </c>
      <c r="B870" s="6">
        <v>45694</v>
      </c>
      <c r="C870" t="s">
        <v>201</v>
      </c>
      <c r="D870" t="s">
        <v>180</v>
      </c>
      <c r="E870">
        <v>190</v>
      </c>
      <c r="F870">
        <v>717.25459999999998</v>
      </c>
    </row>
    <row r="871" spans="1:6" x14ac:dyDescent="0.25">
      <c r="A871" t="s">
        <v>98</v>
      </c>
      <c r="B871" s="6">
        <v>45694</v>
      </c>
      <c r="C871" t="s">
        <v>201</v>
      </c>
      <c r="D871" t="s">
        <v>180</v>
      </c>
      <c r="E871">
        <v>2490</v>
      </c>
      <c r="F871">
        <v>716.06230000000005</v>
      </c>
    </row>
    <row r="872" spans="1:6" x14ac:dyDescent="0.25">
      <c r="A872" t="s">
        <v>98</v>
      </c>
      <c r="B872" s="6">
        <v>45694</v>
      </c>
      <c r="C872" t="s">
        <v>201</v>
      </c>
      <c r="D872" t="s">
        <v>180</v>
      </c>
      <c r="E872">
        <v>5364</v>
      </c>
      <c r="F872">
        <v>715.17340000000002</v>
      </c>
    </row>
    <row r="873" spans="1:6" x14ac:dyDescent="0.25">
      <c r="A873" t="s">
        <v>98</v>
      </c>
      <c r="B873" s="6">
        <v>45694</v>
      </c>
      <c r="C873" t="s">
        <v>201</v>
      </c>
      <c r="D873" t="s">
        <v>180</v>
      </c>
      <c r="E873">
        <v>9710</v>
      </c>
      <c r="F873">
        <v>714.23789999999997</v>
      </c>
    </row>
    <row r="874" spans="1:6" x14ac:dyDescent="0.25">
      <c r="A874" t="s">
        <v>98</v>
      </c>
      <c r="B874" s="6">
        <v>45694</v>
      </c>
      <c r="C874" t="s">
        <v>201</v>
      </c>
      <c r="D874" t="s">
        <v>180</v>
      </c>
      <c r="E874">
        <v>12527</v>
      </c>
      <c r="F874">
        <v>713.03440000000001</v>
      </c>
    </row>
    <row r="875" spans="1:6" x14ac:dyDescent="0.25">
      <c r="A875" t="s">
        <v>98</v>
      </c>
      <c r="B875" s="6">
        <v>45694</v>
      </c>
      <c r="C875" t="s">
        <v>201</v>
      </c>
      <c r="D875" t="s">
        <v>180</v>
      </c>
      <c r="E875">
        <v>15677</v>
      </c>
      <c r="F875">
        <v>711.92190000000005</v>
      </c>
    </row>
    <row r="876" spans="1:6" x14ac:dyDescent="0.25">
      <c r="A876" t="s">
        <v>98</v>
      </c>
      <c r="B876" s="6">
        <v>45694</v>
      </c>
      <c r="C876" t="s">
        <v>201</v>
      </c>
      <c r="D876" t="s">
        <v>180</v>
      </c>
      <c r="E876">
        <v>21972</v>
      </c>
      <c r="F876">
        <v>710.95360000000005</v>
      </c>
    </row>
    <row r="877" spans="1:6" x14ac:dyDescent="0.25">
      <c r="A877" t="s">
        <v>98</v>
      </c>
      <c r="B877" s="6">
        <v>45694</v>
      </c>
      <c r="C877" t="s">
        <v>201</v>
      </c>
      <c r="D877" t="s">
        <v>180</v>
      </c>
      <c r="E877">
        <v>25480</v>
      </c>
      <c r="F877">
        <v>709.85659999999996</v>
      </c>
    </row>
    <row r="878" spans="1:6" x14ac:dyDescent="0.25">
      <c r="A878" t="s">
        <v>98</v>
      </c>
      <c r="B878" s="6">
        <v>45694</v>
      </c>
      <c r="C878" t="s">
        <v>201</v>
      </c>
      <c r="D878" t="s">
        <v>180</v>
      </c>
      <c r="E878">
        <v>28391</v>
      </c>
      <c r="F878">
        <v>708.97140000000002</v>
      </c>
    </row>
    <row r="879" spans="1:6" x14ac:dyDescent="0.25">
      <c r="A879" t="s">
        <v>98</v>
      </c>
      <c r="B879" s="6">
        <v>45694</v>
      </c>
      <c r="C879" t="s">
        <v>201</v>
      </c>
      <c r="D879" t="s">
        <v>180</v>
      </c>
      <c r="E879">
        <v>33527</v>
      </c>
      <c r="F879">
        <v>707.75549999999998</v>
      </c>
    </row>
    <row r="880" spans="1:6" x14ac:dyDescent="0.25">
      <c r="A880" t="s">
        <v>98</v>
      </c>
      <c r="B880" s="6">
        <v>45694</v>
      </c>
      <c r="C880" t="s">
        <v>201</v>
      </c>
      <c r="D880" t="s">
        <v>180</v>
      </c>
      <c r="E880">
        <v>35397</v>
      </c>
      <c r="F880">
        <v>706.98900000000003</v>
      </c>
    </row>
    <row r="881" spans="1:6" x14ac:dyDescent="0.25">
      <c r="A881" t="s">
        <v>98</v>
      </c>
      <c r="B881" s="6">
        <v>45694</v>
      </c>
      <c r="C881" t="s">
        <v>201</v>
      </c>
      <c r="D881" t="s">
        <v>180</v>
      </c>
      <c r="E881">
        <v>37920</v>
      </c>
      <c r="F881">
        <v>705.86580000000004</v>
      </c>
    </row>
    <row r="882" spans="1:6" x14ac:dyDescent="0.25">
      <c r="A882" t="s">
        <v>98</v>
      </c>
      <c r="B882" s="6">
        <v>45694</v>
      </c>
      <c r="C882" t="s">
        <v>201</v>
      </c>
      <c r="D882" t="s">
        <v>180</v>
      </c>
      <c r="E882">
        <v>41219</v>
      </c>
      <c r="F882">
        <v>704.90650000000005</v>
      </c>
    </row>
    <row r="883" spans="1:6" x14ac:dyDescent="0.25">
      <c r="A883" t="s">
        <v>98</v>
      </c>
      <c r="B883" s="6">
        <v>45694</v>
      </c>
      <c r="C883" t="s">
        <v>201</v>
      </c>
      <c r="D883" t="s">
        <v>10</v>
      </c>
      <c r="E883">
        <v>42614</v>
      </c>
      <c r="F883">
        <v>0</v>
      </c>
    </row>
    <row r="884" spans="1:6" x14ac:dyDescent="0.25">
      <c r="A884" t="s">
        <v>98</v>
      </c>
      <c r="B884" s="6">
        <v>45693</v>
      </c>
      <c r="C884" t="s">
        <v>201</v>
      </c>
      <c r="D884" t="s">
        <v>180</v>
      </c>
      <c r="E884">
        <v>172046</v>
      </c>
      <c r="F884">
        <v>716.19860000000006</v>
      </c>
    </row>
    <row r="885" spans="1:6" x14ac:dyDescent="0.25">
      <c r="A885" t="s">
        <v>98</v>
      </c>
      <c r="B885" s="6">
        <v>45693</v>
      </c>
      <c r="C885" t="s">
        <v>201</v>
      </c>
      <c r="D885" t="s">
        <v>180</v>
      </c>
      <c r="E885">
        <v>172530</v>
      </c>
      <c r="F885">
        <v>714.79079999999999</v>
      </c>
    </row>
    <row r="886" spans="1:6" x14ac:dyDescent="0.25">
      <c r="A886" t="s">
        <v>98</v>
      </c>
      <c r="B886" s="6">
        <v>45693</v>
      </c>
      <c r="C886" t="s">
        <v>201</v>
      </c>
      <c r="D886" t="s">
        <v>180</v>
      </c>
      <c r="E886">
        <v>173122</v>
      </c>
      <c r="F886">
        <v>713.55029999999999</v>
      </c>
    </row>
    <row r="887" spans="1:6" x14ac:dyDescent="0.25">
      <c r="A887" t="s">
        <v>98</v>
      </c>
      <c r="B887" s="6">
        <v>45693</v>
      </c>
      <c r="C887" t="s">
        <v>201</v>
      </c>
      <c r="D887" t="s">
        <v>180</v>
      </c>
      <c r="E887">
        <v>173432</v>
      </c>
      <c r="F887">
        <v>712.54570000000001</v>
      </c>
    </row>
    <row r="888" spans="1:6" x14ac:dyDescent="0.25">
      <c r="A888" t="s">
        <v>98</v>
      </c>
      <c r="B888" s="6">
        <v>45693</v>
      </c>
      <c r="C888" t="s">
        <v>201</v>
      </c>
      <c r="D888" t="s">
        <v>180</v>
      </c>
      <c r="E888">
        <v>174224</v>
      </c>
      <c r="F888">
        <v>711.39890000000003</v>
      </c>
    </row>
    <row r="889" spans="1:6" x14ac:dyDescent="0.25">
      <c r="A889" t="s">
        <v>98</v>
      </c>
      <c r="B889" s="6">
        <v>45693</v>
      </c>
      <c r="C889" t="s">
        <v>201</v>
      </c>
      <c r="D889" t="s">
        <v>180</v>
      </c>
      <c r="E889">
        <v>174712</v>
      </c>
      <c r="F889">
        <v>710.22649999999999</v>
      </c>
    </row>
    <row r="890" spans="1:6" x14ac:dyDescent="0.25">
      <c r="A890" t="s">
        <v>98</v>
      </c>
      <c r="B890" s="6">
        <v>45693</v>
      </c>
      <c r="C890" t="s">
        <v>201</v>
      </c>
      <c r="D890" t="s">
        <v>180</v>
      </c>
      <c r="E890">
        <v>175855</v>
      </c>
      <c r="F890">
        <v>708.89840000000004</v>
      </c>
    </row>
    <row r="891" spans="1:6" x14ac:dyDescent="0.25">
      <c r="A891" t="s">
        <v>98</v>
      </c>
      <c r="B891" s="6">
        <v>45693</v>
      </c>
      <c r="C891" t="s">
        <v>201</v>
      </c>
      <c r="D891" t="s">
        <v>180</v>
      </c>
      <c r="E891">
        <v>176147</v>
      </c>
      <c r="F891">
        <v>707.26900000000001</v>
      </c>
    </row>
    <row r="892" spans="1:6" x14ac:dyDescent="0.25">
      <c r="A892" t="s">
        <v>98</v>
      </c>
      <c r="B892" s="6">
        <v>45693</v>
      </c>
      <c r="C892" t="s">
        <v>201</v>
      </c>
      <c r="D892" t="s">
        <v>180</v>
      </c>
      <c r="E892">
        <v>176414</v>
      </c>
      <c r="F892">
        <v>706.10749999999996</v>
      </c>
    </row>
    <row r="893" spans="1:6" x14ac:dyDescent="0.25">
      <c r="A893" t="s">
        <v>98</v>
      </c>
      <c r="B893" s="6">
        <v>45693</v>
      </c>
      <c r="C893" t="s">
        <v>201</v>
      </c>
      <c r="D893" t="s">
        <v>180</v>
      </c>
      <c r="E893">
        <v>176814</v>
      </c>
      <c r="F893">
        <v>705.08590000000004</v>
      </c>
    </row>
    <row r="894" spans="1:6" x14ac:dyDescent="0.25">
      <c r="A894" t="s">
        <v>98</v>
      </c>
      <c r="B894" s="6">
        <v>45693</v>
      </c>
      <c r="C894" t="s">
        <v>201</v>
      </c>
      <c r="D894" t="s">
        <v>180</v>
      </c>
      <c r="E894">
        <v>178984</v>
      </c>
      <c r="F894">
        <v>704.20079999999996</v>
      </c>
    </row>
    <row r="895" spans="1:6" x14ac:dyDescent="0.25">
      <c r="A895" t="s">
        <v>98</v>
      </c>
      <c r="B895" s="6">
        <v>45693</v>
      </c>
      <c r="C895" t="s">
        <v>201</v>
      </c>
      <c r="D895" t="s">
        <v>180</v>
      </c>
      <c r="E895">
        <v>182267</v>
      </c>
      <c r="F895">
        <v>703.26400000000001</v>
      </c>
    </row>
    <row r="896" spans="1:6" x14ac:dyDescent="0.25">
      <c r="A896" t="s">
        <v>98</v>
      </c>
      <c r="B896" s="6">
        <v>45693</v>
      </c>
      <c r="C896" t="s">
        <v>201</v>
      </c>
      <c r="D896" t="s">
        <v>180</v>
      </c>
      <c r="E896">
        <v>184026</v>
      </c>
      <c r="F896">
        <v>702.16970000000003</v>
      </c>
    </row>
    <row r="897" spans="1:6" x14ac:dyDescent="0.25">
      <c r="A897" t="s">
        <v>98</v>
      </c>
      <c r="B897" s="6">
        <v>45693</v>
      </c>
      <c r="C897" t="s">
        <v>201</v>
      </c>
      <c r="D897" t="s">
        <v>180</v>
      </c>
      <c r="E897">
        <v>184659</v>
      </c>
      <c r="F897">
        <v>700.71550000000002</v>
      </c>
    </row>
    <row r="898" spans="1:6" x14ac:dyDescent="0.25">
      <c r="A898" t="s">
        <v>98</v>
      </c>
      <c r="B898" s="6">
        <v>45693</v>
      </c>
      <c r="C898" t="s">
        <v>201</v>
      </c>
      <c r="D898" t="s">
        <v>10</v>
      </c>
      <c r="E898">
        <v>193115309</v>
      </c>
      <c r="F898">
        <v>0</v>
      </c>
    </row>
    <row r="899" spans="1:6" x14ac:dyDescent="0.25">
      <c r="A899" t="s">
        <v>98</v>
      </c>
      <c r="B899" s="6">
        <v>45693</v>
      </c>
      <c r="C899" t="s">
        <v>201</v>
      </c>
      <c r="D899" t="s">
        <v>180</v>
      </c>
      <c r="E899">
        <v>0</v>
      </c>
      <c r="F899">
        <v>717.59</v>
      </c>
    </row>
    <row r="900" spans="1:6" x14ac:dyDescent="0.25">
      <c r="A900" t="s">
        <v>98</v>
      </c>
      <c r="B900" s="6">
        <v>45693</v>
      </c>
      <c r="C900" t="s">
        <v>201</v>
      </c>
      <c r="D900" t="s">
        <v>180</v>
      </c>
      <c r="E900">
        <v>200</v>
      </c>
      <c r="F900">
        <v>716.22199999999998</v>
      </c>
    </row>
    <row r="901" spans="1:6" x14ac:dyDescent="0.25">
      <c r="A901" t="s">
        <v>98</v>
      </c>
      <c r="B901" s="6">
        <v>45693</v>
      </c>
      <c r="C901" t="s">
        <v>201</v>
      </c>
      <c r="D901" t="s">
        <v>180</v>
      </c>
      <c r="E901">
        <v>1204</v>
      </c>
      <c r="F901">
        <v>715.12360000000001</v>
      </c>
    </row>
    <row r="902" spans="1:6" x14ac:dyDescent="0.25">
      <c r="A902" t="s">
        <v>98</v>
      </c>
      <c r="B902" s="6">
        <v>45693</v>
      </c>
      <c r="C902" t="s">
        <v>201</v>
      </c>
      <c r="D902" t="s">
        <v>180</v>
      </c>
      <c r="E902">
        <v>2980</v>
      </c>
      <c r="F902">
        <v>714.07449999999994</v>
      </c>
    </row>
    <row r="903" spans="1:6" x14ac:dyDescent="0.25">
      <c r="A903" t="s">
        <v>98</v>
      </c>
      <c r="B903" s="6">
        <v>45693</v>
      </c>
      <c r="C903" t="s">
        <v>201</v>
      </c>
      <c r="D903" t="s">
        <v>180</v>
      </c>
      <c r="E903">
        <v>4329</v>
      </c>
      <c r="F903">
        <v>713.00480000000005</v>
      </c>
    </row>
    <row r="904" spans="1:6" x14ac:dyDescent="0.25">
      <c r="A904" t="s">
        <v>98</v>
      </c>
      <c r="B904" s="6">
        <v>45693</v>
      </c>
      <c r="C904" t="s">
        <v>201</v>
      </c>
      <c r="D904" t="s">
        <v>180</v>
      </c>
      <c r="E904">
        <v>5558</v>
      </c>
      <c r="F904">
        <v>711.93740000000003</v>
      </c>
    </row>
    <row r="905" spans="1:6" x14ac:dyDescent="0.25">
      <c r="A905" t="s">
        <v>98</v>
      </c>
      <c r="B905" s="6">
        <v>45693</v>
      </c>
      <c r="C905" t="s">
        <v>201</v>
      </c>
      <c r="D905" t="s">
        <v>180</v>
      </c>
      <c r="E905">
        <v>8219</v>
      </c>
      <c r="F905">
        <v>710.84460000000001</v>
      </c>
    </row>
    <row r="906" spans="1:6" x14ac:dyDescent="0.25">
      <c r="A906" t="s">
        <v>98</v>
      </c>
      <c r="B906" s="6">
        <v>45693</v>
      </c>
      <c r="C906" t="s">
        <v>201</v>
      </c>
      <c r="D906" t="s">
        <v>180</v>
      </c>
      <c r="E906">
        <v>10256</v>
      </c>
      <c r="F906">
        <v>709.88499999999999</v>
      </c>
    </row>
    <row r="907" spans="1:6" x14ac:dyDescent="0.25">
      <c r="A907" t="s">
        <v>98</v>
      </c>
      <c r="B907" s="6">
        <v>45693</v>
      </c>
      <c r="C907" t="s">
        <v>201</v>
      </c>
      <c r="D907" t="s">
        <v>180</v>
      </c>
      <c r="E907">
        <v>11755</v>
      </c>
      <c r="F907">
        <v>708.84730000000002</v>
      </c>
    </row>
    <row r="908" spans="1:6" x14ac:dyDescent="0.25">
      <c r="A908" t="s">
        <v>98</v>
      </c>
      <c r="B908" s="6">
        <v>45693</v>
      </c>
      <c r="C908" t="s">
        <v>201</v>
      </c>
      <c r="D908" t="s">
        <v>180</v>
      </c>
      <c r="E908">
        <v>13128</v>
      </c>
      <c r="F908">
        <v>707.87059999999997</v>
      </c>
    </row>
    <row r="909" spans="1:6" x14ac:dyDescent="0.25">
      <c r="A909" t="s">
        <v>98</v>
      </c>
      <c r="B909" s="6">
        <v>45693</v>
      </c>
      <c r="C909" t="s">
        <v>201</v>
      </c>
      <c r="D909" t="s">
        <v>180</v>
      </c>
      <c r="E909">
        <v>13795</v>
      </c>
      <c r="F909">
        <v>706.30169999999998</v>
      </c>
    </row>
    <row r="910" spans="1:6" x14ac:dyDescent="0.25">
      <c r="A910" t="s">
        <v>98</v>
      </c>
      <c r="B910" s="6">
        <v>45693</v>
      </c>
      <c r="C910" t="s">
        <v>201</v>
      </c>
      <c r="D910" t="s">
        <v>180</v>
      </c>
      <c r="E910">
        <v>15038</v>
      </c>
      <c r="F910">
        <v>705.39800000000002</v>
      </c>
    </row>
    <row r="911" spans="1:6" x14ac:dyDescent="0.25">
      <c r="A911" t="s">
        <v>98</v>
      </c>
      <c r="B911" s="6">
        <v>45693</v>
      </c>
      <c r="C911" t="s">
        <v>201</v>
      </c>
      <c r="D911" t="s">
        <v>180</v>
      </c>
      <c r="E911">
        <v>19847</v>
      </c>
      <c r="F911">
        <v>704.35569999999996</v>
      </c>
    </row>
    <row r="912" spans="1:6" x14ac:dyDescent="0.25">
      <c r="A912" t="s">
        <v>98</v>
      </c>
      <c r="B912" s="6">
        <v>45693</v>
      </c>
      <c r="C912" t="s">
        <v>201</v>
      </c>
      <c r="D912" t="s">
        <v>180</v>
      </c>
      <c r="E912">
        <v>31991</v>
      </c>
      <c r="F912">
        <v>703.58259999999996</v>
      </c>
    </row>
    <row r="913" spans="1:6" x14ac:dyDescent="0.25">
      <c r="A913" t="s">
        <v>98</v>
      </c>
      <c r="B913" s="6">
        <v>45693</v>
      </c>
      <c r="C913" t="s">
        <v>201</v>
      </c>
      <c r="D913" t="s">
        <v>180</v>
      </c>
      <c r="E913">
        <v>38383</v>
      </c>
      <c r="F913">
        <v>702.49779999999998</v>
      </c>
    </row>
    <row r="914" spans="1:6" x14ac:dyDescent="0.25">
      <c r="A914" t="s">
        <v>98</v>
      </c>
      <c r="B914" s="6">
        <v>45693</v>
      </c>
      <c r="C914" t="s">
        <v>201</v>
      </c>
      <c r="D914" t="s">
        <v>180</v>
      </c>
      <c r="E914">
        <v>40784</v>
      </c>
      <c r="F914">
        <v>701.51509999999996</v>
      </c>
    </row>
    <row r="915" spans="1:6" x14ac:dyDescent="0.25">
      <c r="A915" t="s">
        <v>98</v>
      </c>
      <c r="B915" s="6">
        <v>45693</v>
      </c>
      <c r="C915" t="s">
        <v>201</v>
      </c>
      <c r="D915" t="s">
        <v>180</v>
      </c>
      <c r="E915">
        <v>41944</v>
      </c>
      <c r="F915">
        <v>700.47220000000004</v>
      </c>
    </row>
    <row r="916" spans="1:6" x14ac:dyDescent="0.25">
      <c r="A916" t="s">
        <v>98</v>
      </c>
      <c r="B916" s="6">
        <v>45693</v>
      </c>
      <c r="C916" t="s">
        <v>201</v>
      </c>
      <c r="D916" t="s">
        <v>10</v>
      </c>
      <c r="E916">
        <v>42614</v>
      </c>
      <c r="F916">
        <v>0</v>
      </c>
    </row>
    <row r="917" spans="1:6" x14ac:dyDescent="0.25">
      <c r="A917" t="s">
        <v>98</v>
      </c>
      <c r="B917" s="6">
        <v>45692</v>
      </c>
      <c r="C917" t="s">
        <v>195</v>
      </c>
      <c r="D917" t="s">
        <v>180</v>
      </c>
      <c r="E917">
        <v>28390</v>
      </c>
      <c r="F917">
        <v>702.24</v>
      </c>
    </row>
    <row r="918" spans="1:6" x14ac:dyDescent="0.25">
      <c r="A918" t="s">
        <v>98</v>
      </c>
      <c r="B918" s="6">
        <v>45692</v>
      </c>
      <c r="C918" t="s">
        <v>201</v>
      </c>
      <c r="D918" t="s">
        <v>10</v>
      </c>
      <c r="E918">
        <v>193157923</v>
      </c>
      <c r="F918">
        <v>0</v>
      </c>
    </row>
    <row r="919" spans="1:6" x14ac:dyDescent="0.25">
      <c r="A919" t="s">
        <v>98</v>
      </c>
      <c r="B919" s="6">
        <v>45692</v>
      </c>
      <c r="C919" t="s">
        <v>201</v>
      </c>
      <c r="D919" t="s">
        <v>180</v>
      </c>
      <c r="E919">
        <v>185021</v>
      </c>
      <c r="F919">
        <v>706.95050000000003</v>
      </c>
    </row>
    <row r="920" spans="1:6" x14ac:dyDescent="0.25">
      <c r="A920" t="s">
        <v>98</v>
      </c>
      <c r="B920" s="6">
        <v>45692</v>
      </c>
      <c r="C920" t="s">
        <v>201</v>
      </c>
      <c r="D920" t="s">
        <v>180</v>
      </c>
      <c r="E920">
        <v>185610</v>
      </c>
      <c r="F920">
        <v>706.14760000000001</v>
      </c>
    </row>
    <row r="921" spans="1:6" x14ac:dyDescent="0.25">
      <c r="A921" t="s">
        <v>98</v>
      </c>
      <c r="B921" s="6">
        <v>45692</v>
      </c>
      <c r="C921" t="s">
        <v>201</v>
      </c>
      <c r="D921" t="s">
        <v>180</v>
      </c>
      <c r="E921">
        <v>188208</v>
      </c>
      <c r="F921">
        <v>705.05079999999998</v>
      </c>
    </row>
    <row r="922" spans="1:6" x14ac:dyDescent="0.25">
      <c r="A922" t="s">
        <v>98</v>
      </c>
      <c r="B922" s="6">
        <v>45692</v>
      </c>
      <c r="C922" t="s">
        <v>201</v>
      </c>
      <c r="D922" t="s">
        <v>180</v>
      </c>
      <c r="E922">
        <v>189967</v>
      </c>
      <c r="F922">
        <v>704.12530000000004</v>
      </c>
    </row>
    <row r="923" spans="1:6" x14ac:dyDescent="0.25">
      <c r="A923" t="s">
        <v>98</v>
      </c>
      <c r="B923" s="6">
        <v>45692</v>
      </c>
      <c r="C923" t="s">
        <v>201</v>
      </c>
      <c r="D923" t="s">
        <v>180</v>
      </c>
      <c r="E923">
        <v>192608</v>
      </c>
      <c r="F923">
        <v>703.14930000000004</v>
      </c>
    </row>
    <row r="924" spans="1:6" x14ac:dyDescent="0.25">
      <c r="A924" t="s">
        <v>98</v>
      </c>
      <c r="B924" s="6">
        <v>45692</v>
      </c>
      <c r="C924" t="s">
        <v>201</v>
      </c>
      <c r="D924" t="s">
        <v>180</v>
      </c>
      <c r="E924">
        <v>193736</v>
      </c>
      <c r="F924">
        <v>701.77760000000001</v>
      </c>
    </row>
    <row r="925" spans="1:6" x14ac:dyDescent="0.25">
      <c r="A925" t="s">
        <v>98</v>
      </c>
      <c r="B925" s="6">
        <v>45692</v>
      </c>
      <c r="C925" t="s">
        <v>201</v>
      </c>
      <c r="D925" t="s">
        <v>180</v>
      </c>
      <c r="E925">
        <v>194238</v>
      </c>
      <c r="F925">
        <v>700.67020000000002</v>
      </c>
    </row>
    <row r="926" spans="1:6" x14ac:dyDescent="0.25">
      <c r="A926" t="s">
        <v>98</v>
      </c>
      <c r="B926" s="6">
        <v>45692</v>
      </c>
      <c r="C926" t="s">
        <v>201</v>
      </c>
      <c r="D926" t="s">
        <v>180</v>
      </c>
      <c r="E926">
        <v>194764</v>
      </c>
      <c r="F926">
        <v>699.67769999999996</v>
      </c>
    </row>
    <row r="927" spans="1:6" x14ac:dyDescent="0.25">
      <c r="A927" t="s">
        <v>98</v>
      </c>
      <c r="B927" s="6">
        <v>45692</v>
      </c>
      <c r="C927" t="s">
        <v>201</v>
      </c>
      <c r="D927" t="s">
        <v>180</v>
      </c>
      <c r="E927">
        <v>195025</v>
      </c>
      <c r="F927">
        <v>698.50480000000005</v>
      </c>
    </row>
    <row r="928" spans="1:6" x14ac:dyDescent="0.25">
      <c r="A928" t="s">
        <v>98</v>
      </c>
      <c r="B928" s="6">
        <v>45692</v>
      </c>
      <c r="C928" t="s">
        <v>201</v>
      </c>
      <c r="D928" t="s">
        <v>180</v>
      </c>
      <c r="E928">
        <v>195413</v>
      </c>
      <c r="F928">
        <v>697.39859999999999</v>
      </c>
    </row>
    <row r="929" spans="1:6" x14ac:dyDescent="0.25">
      <c r="A929" t="s">
        <v>98</v>
      </c>
      <c r="B929" s="6">
        <v>45692</v>
      </c>
      <c r="C929" t="s">
        <v>201</v>
      </c>
      <c r="D929" t="s">
        <v>180</v>
      </c>
      <c r="E929">
        <v>195991</v>
      </c>
      <c r="F929">
        <v>696.44989999999996</v>
      </c>
    </row>
    <row r="930" spans="1:6" x14ac:dyDescent="0.25">
      <c r="A930" t="s">
        <v>98</v>
      </c>
      <c r="B930" s="6">
        <v>45692</v>
      </c>
      <c r="C930" t="s">
        <v>201</v>
      </c>
      <c r="D930" t="s">
        <v>180</v>
      </c>
      <c r="E930">
        <v>196590</v>
      </c>
      <c r="F930">
        <v>695.47109999999998</v>
      </c>
    </row>
    <row r="931" spans="1:6" x14ac:dyDescent="0.25">
      <c r="A931" t="s">
        <v>98</v>
      </c>
      <c r="B931" s="6">
        <v>45692</v>
      </c>
      <c r="C931" t="s">
        <v>201</v>
      </c>
      <c r="D931" t="s">
        <v>180</v>
      </c>
      <c r="E931">
        <v>196890</v>
      </c>
      <c r="F931">
        <v>694.35540000000003</v>
      </c>
    </row>
    <row r="932" spans="1:6" x14ac:dyDescent="0.25">
      <c r="A932" t="s">
        <v>98</v>
      </c>
      <c r="B932" s="6">
        <v>45692</v>
      </c>
      <c r="C932" t="s">
        <v>201</v>
      </c>
      <c r="D932" t="s">
        <v>180</v>
      </c>
      <c r="E932">
        <v>197496</v>
      </c>
      <c r="F932">
        <v>692.31150000000002</v>
      </c>
    </row>
    <row r="933" spans="1:6" x14ac:dyDescent="0.25">
      <c r="A933" t="s">
        <v>98</v>
      </c>
      <c r="B933" s="6">
        <v>45692</v>
      </c>
      <c r="C933" t="s">
        <v>201</v>
      </c>
      <c r="D933" t="s">
        <v>180</v>
      </c>
      <c r="E933">
        <v>0</v>
      </c>
      <c r="F933">
        <v>706.9443</v>
      </c>
    </row>
    <row r="934" spans="1:6" x14ac:dyDescent="0.25">
      <c r="A934" t="s">
        <v>98</v>
      </c>
      <c r="B934" s="6">
        <v>45692</v>
      </c>
      <c r="C934" t="s">
        <v>201</v>
      </c>
      <c r="D934" t="s">
        <v>180</v>
      </c>
      <c r="E934">
        <v>2274</v>
      </c>
      <c r="F934">
        <v>706.11789999999996</v>
      </c>
    </row>
    <row r="935" spans="1:6" x14ac:dyDescent="0.25">
      <c r="A935" t="s">
        <v>98</v>
      </c>
      <c r="B935" s="6">
        <v>45692</v>
      </c>
      <c r="C935" t="s">
        <v>201</v>
      </c>
      <c r="D935" t="s">
        <v>180</v>
      </c>
      <c r="E935">
        <v>11282</v>
      </c>
      <c r="F935">
        <v>705.10119999999995</v>
      </c>
    </row>
    <row r="936" spans="1:6" x14ac:dyDescent="0.25">
      <c r="A936" t="s">
        <v>98</v>
      </c>
      <c r="B936" s="6">
        <v>45692</v>
      </c>
      <c r="C936" t="s">
        <v>201</v>
      </c>
      <c r="D936" t="s">
        <v>180</v>
      </c>
      <c r="E936">
        <v>18992</v>
      </c>
      <c r="F936">
        <v>704.15499999999997</v>
      </c>
    </row>
    <row r="937" spans="1:6" x14ac:dyDescent="0.25">
      <c r="A937" t="s">
        <v>98</v>
      </c>
      <c r="B937" s="6">
        <v>45692</v>
      </c>
      <c r="C937" t="s">
        <v>201</v>
      </c>
      <c r="D937" t="s">
        <v>180</v>
      </c>
      <c r="E937">
        <v>29124</v>
      </c>
      <c r="F937">
        <v>703.31740000000002</v>
      </c>
    </row>
    <row r="938" spans="1:6" x14ac:dyDescent="0.25">
      <c r="A938" t="s">
        <v>98</v>
      </c>
      <c r="B938" s="6">
        <v>45692</v>
      </c>
      <c r="C938" t="s">
        <v>201</v>
      </c>
      <c r="D938" t="s">
        <v>180</v>
      </c>
      <c r="E938">
        <v>33211</v>
      </c>
      <c r="F938">
        <v>702.04780000000005</v>
      </c>
    </row>
    <row r="939" spans="1:6" x14ac:dyDescent="0.25">
      <c r="A939" t="s">
        <v>98</v>
      </c>
      <c r="B939" s="6">
        <v>45692</v>
      </c>
      <c r="C939" t="s">
        <v>201</v>
      </c>
      <c r="D939" t="s">
        <v>180</v>
      </c>
      <c r="E939">
        <v>34241</v>
      </c>
      <c r="F939">
        <v>701.04010000000005</v>
      </c>
    </row>
    <row r="940" spans="1:6" x14ac:dyDescent="0.25">
      <c r="A940" t="s">
        <v>98</v>
      </c>
      <c r="B940" s="6">
        <v>45692</v>
      </c>
      <c r="C940" t="s">
        <v>201</v>
      </c>
      <c r="D940" t="s">
        <v>180</v>
      </c>
      <c r="E940">
        <v>36237</v>
      </c>
      <c r="F940">
        <v>700.02959999999996</v>
      </c>
    </row>
    <row r="941" spans="1:6" x14ac:dyDescent="0.25">
      <c r="A941" t="s">
        <v>98</v>
      </c>
      <c r="B941" s="6">
        <v>45692</v>
      </c>
      <c r="C941" t="s">
        <v>201</v>
      </c>
      <c r="D941" t="s">
        <v>180</v>
      </c>
      <c r="E941">
        <v>37044</v>
      </c>
      <c r="F941">
        <v>698.77250000000004</v>
      </c>
    </row>
    <row r="942" spans="1:6" x14ac:dyDescent="0.25">
      <c r="A942" t="s">
        <v>98</v>
      </c>
      <c r="B942" s="6">
        <v>45692</v>
      </c>
      <c r="C942" t="s">
        <v>201</v>
      </c>
      <c r="D942" t="s">
        <v>180</v>
      </c>
      <c r="E942">
        <v>37644</v>
      </c>
      <c r="F942">
        <v>698.0951</v>
      </c>
    </row>
    <row r="943" spans="1:6" x14ac:dyDescent="0.25">
      <c r="A943" t="s">
        <v>98</v>
      </c>
      <c r="B943" s="6">
        <v>45692</v>
      </c>
      <c r="C943" t="s">
        <v>201</v>
      </c>
      <c r="D943" t="s">
        <v>180</v>
      </c>
      <c r="E943">
        <v>38200</v>
      </c>
      <c r="F943">
        <v>696.86019999999996</v>
      </c>
    </row>
    <row r="944" spans="1:6" x14ac:dyDescent="0.25">
      <c r="A944" t="s">
        <v>98</v>
      </c>
      <c r="B944" s="6">
        <v>45692</v>
      </c>
      <c r="C944" t="s">
        <v>201</v>
      </c>
      <c r="D944" t="s">
        <v>180</v>
      </c>
      <c r="E944">
        <v>39568</v>
      </c>
      <c r="F944">
        <v>695.83010000000002</v>
      </c>
    </row>
    <row r="945" spans="1:6" x14ac:dyDescent="0.25">
      <c r="A945" t="s">
        <v>98</v>
      </c>
      <c r="B945" s="6">
        <v>45692</v>
      </c>
      <c r="C945" t="s">
        <v>201</v>
      </c>
      <c r="D945" t="s">
        <v>180</v>
      </c>
      <c r="E945">
        <v>40588</v>
      </c>
      <c r="F945">
        <v>694.87350000000004</v>
      </c>
    </row>
    <row r="946" spans="1:6" x14ac:dyDescent="0.25">
      <c r="A946" t="s">
        <v>98</v>
      </c>
      <c r="B946" s="6">
        <v>45692</v>
      </c>
      <c r="C946" t="s">
        <v>201</v>
      </c>
      <c r="D946" t="s">
        <v>180</v>
      </c>
      <c r="E946">
        <v>41338</v>
      </c>
      <c r="F946">
        <v>693.88139999999999</v>
      </c>
    </row>
    <row r="947" spans="1:6" x14ac:dyDescent="0.25">
      <c r="A947" t="s">
        <v>98</v>
      </c>
      <c r="B947" s="6">
        <v>45692</v>
      </c>
      <c r="C947" t="s">
        <v>201</v>
      </c>
      <c r="D947" t="s">
        <v>180</v>
      </c>
      <c r="E947">
        <v>41737</v>
      </c>
      <c r="F947">
        <v>692.36009999999999</v>
      </c>
    </row>
    <row r="948" spans="1:6" x14ac:dyDescent="0.25">
      <c r="A948" t="s">
        <v>98</v>
      </c>
      <c r="B948" s="6">
        <v>45692</v>
      </c>
      <c r="C948" t="s">
        <v>201</v>
      </c>
      <c r="D948" t="s">
        <v>10</v>
      </c>
      <c r="E948">
        <v>42614</v>
      </c>
      <c r="F948">
        <v>0</v>
      </c>
    </row>
    <row r="949" spans="1:6" x14ac:dyDescent="0.25">
      <c r="A949" t="s">
        <v>98</v>
      </c>
      <c r="B949" s="6">
        <v>45691</v>
      </c>
      <c r="C949" t="s">
        <v>201</v>
      </c>
      <c r="D949" t="s">
        <v>180</v>
      </c>
      <c r="E949">
        <v>197996</v>
      </c>
      <c r="F949">
        <v>702.97550000000001</v>
      </c>
    </row>
    <row r="950" spans="1:6" x14ac:dyDescent="0.25">
      <c r="A950" t="s">
        <v>98</v>
      </c>
      <c r="B950" s="6">
        <v>45691</v>
      </c>
      <c r="C950" t="s">
        <v>201</v>
      </c>
      <c r="D950" t="s">
        <v>180</v>
      </c>
      <c r="E950">
        <v>198900</v>
      </c>
      <c r="F950">
        <v>701.90750000000003</v>
      </c>
    </row>
    <row r="951" spans="1:6" x14ac:dyDescent="0.25">
      <c r="A951" t="s">
        <v>98</v>
      </c>
      <c r="B951" s="6">
        <v>45691</v>
      </c>
      <c r="C951" t="s">
        <v>201</v>
      </c>
      <c r="D951" t="s">
        <v>180</v>
      </c>
      <c r="E951">
        <v>200156</v>
      </c>
      <c r="F951">
        <v>700.57270000000005</v>
      </c>
    </row>
    <row r="952" spans="1:6" x14ac:dyDescent="0.25">
      <c r="A952" t="s">
        <v>98</v>
      </c>
      <c r="B952" s="6">
        <v>45691</v>
      </c>
      <c r="C952" t="s">
        <v>201</v>
      </c>
      <c r="D952" t="s">
        <v>180</v>
      </c>
      <c r="E952">
        <v>201212</v>
      </c>
      <c r="F952">
        <v>699.34280000000001</v>
      </c>
    </row>
    <row r="953" spans="1:6" x14ac:dyDescent="0.25">
      <c r="A953" t="s">
        <v>98</v>
      </c>
      <c r="B953" s="6">
        <v>45691</v>
      </c>
      <c r="C953" t="s">
        <v>201</v>
      </c>
      <c r="D953" t="s">
        <v>180</v>
      </c>
      <c r="E953">
        <v>202634</v>
      </c>
      <c r="F953">
        <v>698.29420000000005</v>
      </c>
    </row>
    <row r="954" spans="1:6" x14ac:dyDescent="0.25">
      <c r="A954" t="s">
        <v>98</v>
      </c>
      <c r="B954" s="6">
        <v>45691</v>
      </c>
      <c r="C954" t="s">
        <v>201</v>
      </c>
      <c r="D954" t="s">
        <v>180</v>
      </c>
      <c r="E954">
        <v>204344</v>
      </c>
      <c r="F954">
        <v>697.24459999999999</v>
      </c>
    </row>
    <row r="955" spans="1:6" x14ac:dyDescent="0.25">
      <c r="A955" t="s">
        <v>98</v>
      </c>
      <c r="B955" s="6">
        <v>45691</v>
      </c>
      <c r="C955" t="s">
        <v>201</v>
      </c>
      <c r="D955" t="s">
        <v>180</v>
      </c>
      <c r="E955">
        <v>206151</v>
      </c>
      <c r="F955">
        <v>695.53430000000003</v>
      </c>
    </row>
    <row r="956" spans="1:6" x14ac:dyDescent="0.25">
      <c r="A956" t="s">
        <v>98</v>
      </c>
      <c r="B956" s="6">
        <v>45691</v>
      </c>
      <c r="C956" t="s">
        <v>201</v>
      </c>
      <c r="D956" t="s">
        <v>180</v>
      </c>
      <c r="E956">
        <v>206647</v>
      </c>
      <c r="F956">
        <v>694.77940000000001</v>
      </c>
    </row>
    <row r="957" spans="1:6" x14ac:dyDescent="0.25">
      <c r="A957" t="s">
        <v>98</v>
      </c>
      <c r="B957" s="6">
        <v>45691</v>
      </c>
      <c r="C957" t="s">
        <v>201</v>
      </c>
      <c r="D957" t="s">
        <v>180</v>
      </c>
      <c r="E957">
        <v>207191</v>
      </c>
      <c r="F957">
        <v>693.71069999999997</v>
      </c>
    </row>
    <row r="958" spans="1:6" x14ac:dyDescent="0.25">
      <c r="A958" t="s">
        <v>98</v>
      </c>
      <c r="B958" s="6">
        <v>45691</v>
      </c>
      <c r="C958" t="s">
        <v>201</v>
      </c>
      <c r="D958" t="s">
        <v>180</v>
      </c>
      <c r="E958">
        <v>208083</v>
      </c>
      <c r="F958">
        <v>692.6617</v>
      </c>
    </row>
    <row r="959" spans="1:6" x14ac:dyDescent="0.25">
      <c r="A959" t="s">
        <v>98</v>
      </c>
      <c r="B959" s="6">
        <v>45691</v>
      </c>
      <c r="C959" t="s">
        <v>201</v>
      </c>
      <c r="D959" t="s">
        <v>180</v>
      </c>
      <c r="E959">
        <v>208646</v>
      </c>
      <c r="F959">
        <v>691.38959999999997</v>
      </c>
    </row>
    <row r="960" spans="1:6" x14ac:dyDescent="0.25">
      <c r="A960" t="s">
        <v>98</v>
      </c>
      <c r="B960" s="6">
        <v>45691</v>
      </c>
      <c r="C960" t="s">
        <v>201</v>
      </c>
      <c r="D960" t="s">
        <v>180</v>
      </c>
      <c r="E960">
        <v>209031</v>
      </c>
      <c r="F960">
        <v>689.72379999999998</v>
      </c>
    </row>
    <row r="961" spans="1:6" x14ac:dyDescent="0.25">
      <c r="A961" t="s">
        <v>98</v>
      </c>
      <c r="B961" s="6">
        <v>45691</v>
      </c>
      <c r="C961" t="s">
        <v>201</v>
      </c>
      <c r="D961" t="s">
        <v>180</v>
      </c>
      <c r="E961">
        <v>209323</v>
      </c>
      <c r="F961">
        <v>688.50729999999999</v>
      </c>
    </row>
    <row r="962" spans="1:6" x14ac:dyDescent="0.25">
      <c r="A962" t="s">
        <v>98</v>
      </c>
      <c r="B962" s="6">
        <v>45691</v>
      </c>
      <c r="C962" t="s">
        <v>201</v>
      </c>
      <c r="D962" t="s">
        <v>180</v>
      </c>
      <c r="E962">
        <v>209711</v>
      </c>
      <c r="F962">
        <v>686.91</v>
      </c>
    </row>
    <row r="963" spans="1:6" x14ac:dyDescent="0.25">
      <c r="A963" t="s">
        <v>98</v>
      </c>
      <c r="B963" s="6">
        <v>45691</v>
      </c>
      <c r="C963" t="s">
        <v>201</v>
      </c>
      <c r="D963" t="s">
        <v>180</v>
      </c>
      <c r="E963">
        <v>209807</v>
      </c>
      <c r="F963">
        <v>686.29669999999999</v>
      </c>
    </row>
    <row r="964" spans="1:6" x14ac:dyDescent="0.25">
      <c r="A964" t="s">
        <v>98</v>
      </c>
      <c r="B964" s="6">
        <v>45691</v>
      </c>
      <c r="C964" t="s">
        <v>201</v>
      </c>
      <c r="D964" t="s">
        <v>180</v>
      </c>
      <c r="E964">
        <v>210107</v>
      </c>
      <c r="F964">
        <v>685.28499999999997</v>
      </c>
    </row>
    <row r="965" spans="1:6" x14ac:dyDescent="0.25">
      <c r="A965" t="s">
        <v>98</v>
      </c>
      <c r="B965" s="6">
        <v>45691</v>
      </c>
      <c r="C965" t="s">
        <v>201</v>
      </c>
      <c r="D965" t="s">
        <v>180</v>
      </c>
      <c r="E965">
        <v>210307</v>
      </c>
      <c r="F965">
        <v>684.43579999999997</v>
      </c>
    </row>
    <row r="966" spans="1:6" x14ac:dyDescent="0.25">
      <c r="A966" t="s">
        <v>98</v>
      </c>
      <c r="B966" s="6">
        <v>45691</v>
      </c>
      <c r="C966" t="s">
        <v>201</v>
      </c>
      <c r="D966" t="s">
        <v>180</v>
      </c>
      <c r="E966">
        <v>210603</v>
      </c>
      <c r="F966">
        <v>682.67499999999995</v>
      </c>
    </row>
    <row r="967" spans="1:6" x14ac:dyDescent="0.25">
      <c r="A967" t="s">
        <v>98</v>
      </c>
      <c r="B967" s="6">
        <v>45691</v>
      </c>
      <c r="C967" t="s">
        <v>201</v>
      </c>
      <c r="D967" t="s">
        <v>180</v>
      </c>
      <c r="E967">
        <v>210699</v>
      </c>
      <c r="F967">
        <v>680.84</v>
      </c>
    </row>
    <row r="968" spans="1:6" x14ac:dyDescent="0.25">
      <c r="A968" t="s">
        <v>98</v>
      </c>
      <c r="B968" s="6">
        <v>45691</v>
      </c>
      <c r="C968" t="s">
        <v>201</v>
      </c>
      <c r="D968" t="s">
        <v>180</v>
      </c>
      <c r="E968">
        <v>210799</v>
      </c>
      <c r="F968">
        <v>679.82</v>
      </c>
    </row>
    <row r="969" spans="1:6" x14ac:dyDescent="0.25">
      <c r="A969" t="s">
        <v>98</v>
      </c>
      <c r="B969" s="6">
        <v>45691</v>
      </c>
      <c r="C969" t="s">
        <v>201</v>
      </c>
      <c r="D969" t="s">
        <v>180</v>
      </c>
      <c r="E969">
        <v>210899</v>
      </c>
      <c r="F969">
        <v>675.69</v>
      </c>
    </row>
    <row r="970" spans="1:6" x14ac:dyDescent="0.25">
      <c r="A970" t="s">
        <v>98</v>
      </c>
      <c r="B970" s="6">
        <v>45691</v>
      </c>
      <c r="C970" t="s">
        <v>201</v>
      </c>
      <c r="D970" t="s">
        <v>10</v>
      </c>
      <c r="E970">
        <v>193200537</v>
      </c>
      <c r="F970">
        <v>0</v>
      </c>
    </row>
    <row r="971" spans="1:6" x14ac:dyDescent="0.25">
      <c r="A971" t="s">
        <v>98</v>
      </c>
      <c r="B971" s="6">
        <v>45691</v>
      </c>
      <c r="C971" t="s">
        <v>201</v>
      </c>
      <c r="D971" t="s">
        <v>180</v>
      </c>
      <c r="E971">
        <v>0</v>
      </c>
      <c r="F971">
        <v>703.78740000000005</v>
      </c>
    </row>
    <row r="972" spans="1:6" x14ac:dyDescent="0.25">
      <c r="A972" t="s">
        <v>98</v>
      </c>
      <c r="B972" s="6">
        <v>45691</v>
      </c>
      <c r="C972" t="s">
        <v>201</v>
      </c>
      <c r="D972" t="s">
        <v>180</v>
      </c>
      <c r="E972">
        <v>276</v>
      </c>
      <c r="F972">
        <v>703.08960000000002</v>
      </c>
    </row>
    <row r="973" spans="1:6" x14ac:dyDescent="0.25">
      <c r="A973" t="s">
        <v>98</v>
      </c>
      <c r="B973" s="6">
        <v>45691</v>
      </c>
      <c r="C973" t="s">
        <v>201</v>
      </c>
      <c r="D973" t="s">
        <v>180</v>
      </c>
      <c r="E973">
        <v>2915</v>
      </c>
      <c r="F973">
        <v>702.12350000000004</v>
      </c>
    </row>
    <row r="974" spans="1:6" x14ac:dyDescent="0.25">
      <c r="A974" t="s">
        <v>98</v>
      </c>
      <c r="B974" s="6">
        <v>45691</v>
      </c>
      <c r="C974" t="s">
        <v>201</v>
      </c>
      <c r="D974" t="s">
        <v>180</v>
      </c>
      <c r="E974">
        <v>9919</v>
      </c>
      <c r="F974">
        <v>701.19190000000003</v>
      </c>
    </row>
    <row r="975" spans="1:6" x14ac:dyDescent="0.25">
      <c r="A975" t="s">
        <v>98</v>
      </c>
      <c r="B975" s="6">
        <v>45691</v>
      </c>
      <c r="C975" t="s">
        <v>201</v>
      </c>
      <c r="D975" t="s">
        <v>180</v>
      </c>
      <c r="E975">
        <v>14309</v>
      </c>
      <c r="F975">
        <v>700.15210000000002</v>
      </c>
    </row>
    <row r="976" spans="1:6" x14ac:dyDescent="0.25">
      <c r="A976" t="s">
        <v>98</v>
      </c>
      <c r="B976" s="6">
        <v>45691</v>
      </c>
      <c r="C976" t="s">
        <v>201</v>
      </c>
      <c r="D976" t="s">
        <v>180</v>
      </c>
      <c r="E976">
        <v>19320</v>
      </c>
      <c r="F976">
        <v>699.07590000000005</v>
      </c>
    </row>
    <row r="977" spans="1:6" x14ac:dyDescent="0.25">
      <c r="A977" t="s">
        <v>98</v>
      </c>
      <c r="B977" s="6">
        <v>45691</v>
      </c>
      <c r="C977" t="s">
        <v>201</v>
      </c>
      <c r="D977" t="s">
        <v>180</v>
      </c>
      <c r="E977">
        <v>21618</v>
      </c>
      <c r="F977">
        <v>698.04819999999995</v>
      </c>
    </row>
    <row r="978" spans="1:6" x14ac:dyDescent="0.25">
      <c r="A978" t="s">
        <v>98</v>
      </c>
      <c r="B978" s="6">
        <v>45691</v>
      </c>
      <c r="C978" t="s">
        <v>201</v>
      </c>
      <c r="D978" t="s">
        <v>180</v>
      </c>
      <c r="E978">
        <v>24452</v>
      </c>
      <c r="F978">
        <v>697.22199999999998</v>
      </c>
    </row>
    <row r="979" spans="1:6" x14ac:dyDescent="0.25">
      <c r="A979" t="s">
        <v>98</v>
      </c>
      <c r="B979" s="6">
        <v>45691</v>
      </c>
      <c r="C979" t="s">
        <v>201</v>
      </c>
      <c r="D979" t="s">
        <v>180</v>
      </c>
      <c r="E979">
        <v>27095</v>
      </c>
      <c r="F979">
        <v>695.83259999999996</v>
      </c>
    </row>
    <row r="980" spans="1:6" x14ac:dyDescent="0.25">
      <c r="A980" t="s">
        <v>98</v>
      </c>
      <c r="B980" s="6">
        <v>45691</v>
      </c>
      <c r="C980" t="s">
        <v>201</v>
      </c>
      <c r="D980" t="s">
        <v>180</v>
      </c>
      <c r="E980">
        <v>27797</v>
      </c>
      <c r="F980">
        <v>694.85239999999999</v>
      </c>
    </row>
    <row r="981" spans="1:6" x14ac:dyDescent="0.25">
      <c r="A981" t="s">
        <v>98</v>
      </c>
      <c r="B981" s="6">
        <v>45691</v>
      </c>
      <c r="C981" t="s">
        <v>201</v>
      </c>
      <c r="D981" t="s">
        <v>180</v>
      </c>
      <c r="E981">
        <v>28962</v>
      </c>
      <c r="F981">
        <v>693.73419999999999</v>
      </c>
    </row>
    <row r="982" spans="1:6" x14ac:dyDescent="0.25">
      <c r="A982" t="s">
        <v>98</v>
      </c>
      <c r="B982" s="6">
        <v>45691</v>
      </c>
      <c r="C982" t="s">
        <v>201</v>
      </c>
      <c r="D982" t="s">
        <v>180</v>
      </c>
      <c r="E982">
        <v>30268</v>
      </c>
      <c r="F982">
        <v>692.5752</v>
      </c>
    </row>
    <row r="983" spans="1:6" x14ac:dyDescent="0.25">
      <c r="A983" t="s">
        <v>98</v>
      </c>
      <c r="B983" s="6">
        <v>45691</v>
      </c>
      <c r="C983" t="s">
        <v>201</v>
      </c>
      <c r="D983" t="s">
        <v>180</v>
      </c>
      <c r="E983">
        <v>31418</v>
      </c>
      <c r="F983">
        <v>691.5367</v>
      </c>
    </row>
    <row r="984" spans="1:6" x14ac:dyDescent="0.25">
      <c r="A984" t="s">
        <v>98</v>
      </c>
      <c r="B984" s="6">
        <v>45691</v>
      </c>
      <c r="C984" t="s">
        <v>201</v>
      </c>
      <c r="D984" t="s">
        <v>180</v>
      </c>
      <c r="E984">
        <v>32018</v>
      </c>
      <c r="F984">
        <v>690.48540000000003</v>
      </c>
    </row>
    <row r="985" spans="1:6" x14ac:dyDescent="0.25">
      <c r="A985" t="s">
        <v>98</v>
      </c>
      <c r="B985" s="6">
        <v>45691</v>
      </c>
      <c r="C985" t="s">
        <v>201</v>
      </c>
      <c r="D985" t="s">
        <v>180</v>
      </c>
      <c r="E985">
        <v>32798</v>
      </c>
      <c r="F985">
        <v>688.49630000000002</v>
      </c>
    </row>
    <row r="986" spans="1:6" x14ac:dyDescent="0.25">
      <c r="A986" t="s">
        <v>98</v>
      </c>
      <c r="B986" s="6">
        <v>45691</v>
      </c>
      <c r="C986" t="s">
        <v>201</v>
      </c>
      <c r="D986" t="s">
        <v>180</v>
      </c>
      <c r="E986">
        <v>33178</v>
      </c>
      <c r="F986">
        <v>687.66639999999995</v>
      </c>
    </row>
    <row r="987" spans="1:6" x14ac:dyDescent="0.25">
      <c r="A987" t="s">
        <v>98</v>
      </c>
      <c r="B987" s="6">
        <v>45691</v>
      </c>
      <c r="C987" t="s">
        <v>201</v>
      </c>
      <c r="D987" t="s">
        <v>180</v>
      </c>
      <c r="E987">
        <v>33608</v>
      </c>
      <c r="F987">
        <v>686.1875</v>
      </c>
    </row>
    <row r="988" spans="1:6" x14ac:dyDescent="0.25">
      <c r="A988" t="s">
        <v>98</v>
      </c>
      <c r="B988" s="6">
        <v>45691</v>
      </c>
      <c r="C988" t="s">
        <v>201</v>
      </c>
      <c r="D988" t="s">
        <v>180</v>
      </c>
      <c r="E988">
        <v>34288</v>
      </c>
      <c r="F988">
        <v>684.9153</v>
      </c>
    </row>
    <row r="989" spans="1:6" x14ac:dyDescent="0.25">
      <c r="A989" t="s">
        <v>98</v>
      </c>
      <c r="B989" s="6">
        <v>45691</v>
      </c>
      <c r="C989" t="s">
        <v>201</v>
      </c>
      <c r="D989" t="s">
        <v>180</v>
      </c>
      <c r="E989">
        <v>34758</v>
      </c>
      <c r="F989">
        <v>683.83330000000001</v>
      </c>
    </row>
    <row r="990" spans="1:6" x14ac:dyDescent="0.25">
      <c r="A990" t="s">
        <v>98</v>
      </c>
      <c r="B990" s="6">
        <v>45691</v>
      </c>
      <c r="C990" t="s">
        <v>201</v>
      </c>
      <c r="D990" t="s">
        <v>180</v>
      </c>
      <c r="E990">
        <v>35058</v>
      </c>
      <c r="F990">
        <v>682.66</v>
      </c>
    </row>
    <row r="991" spans="1:6" x14ac:dyDescent="0.25">
      <c r="A991" t="s">
        <v>98</v>
      </c>
      <c r="B991" s="6">
        <v>45691</v>
      </c>
      <c r="C991" t="s">
        <v>201</v>
      </c>
      <c r="D991" t="s">
        <v>180</v>
      </c>
      <c r="E991">
        <v>35258</v>
      </c>
      <c r="F991">
        <v>681.32</v>
      </c>
    </row>
    <row r="992" spans="1:6" x14ac:dyDescent="0.25">
      <c r="A992" t="s">
        <v>98</v>
      </c>
      <c r="B992" s="6">
        <v>45691</v>
      </c>
      <c r="C992" t="s">
        <v>201</v>
      </c>
      <c r="D992" t="s">
        <v>180</v>
      </c>
      <c r="E992">
        <v>35458</v>
      </c>
      <c r="F992">
        <v>678</v>
      </c>
    </row>
    <row r="993" spans="1:6" x14ac:dyDescent="0.25">
      <c r="A993" t="s">
        <v>98</v>
      </c>
      <c r="B993" s="6">
        <v>45691</v>
      </c>
      <c r="C993" t="s">
        <v>201</v>
      </c>
      <c r="D993" t="s">
        <v>180</v>
      </c>
      <c r="E993">
        <v>35558</v>
      </c>
      <c r="F993">
        <v>675.69</v>
      </c>
    </row>
    <row r="994" spans="1:6" x14ac:dyDescent="0.25">
      <c r="A994" t="s">
        <v>98</v>
      </c>
      <c r="B994" s="6">
        <v>45691</v>
      </c>
      <c r="C994" t="s">
        <v>201</v>
      </c>
      <c r="D994" t="s">
        <v>10</v>
      </c>
      <c r="E994">
        <v>35638</v>
      </c>
      <c r="F994">
        <v>0</v>
      </c>
    </row>
    <row r="995" spans="1:6" x14ac:dyDescent="0.25">
      <c r="A995" t="s">
        <v>98</v>
      </c>
      <c r="B995" s="6">
        <v>45691</v>
      </c>
      <c r="C995" t="s">
        <v>196</v>
      </c>
      <c r="D995" t="s">
        <v>180</v>
      </c>
      <c r="E995">
        <v>15449</v>
      </c>
      <c r="F995">
        <v>676</v>
      </c>
    </row>
    <row r="996" spans="1:6" x14ac:dyDescent="0.25">
      <c r="A996" t="s">
        <v>98</v>
      </c>
      <c r="B996" s="6">
        <v>45688</v>
      </c>
      <c r="C996" t="s">
        <v>201</v>
      </c>
      <c r="D996" t="s">
        <v>180</v>
      </c>
      <c r="E996">
        <v>210971</v>
      </c>
      <c r="F996">
        <v>705.02</v>
      </c>
    </row>
    <row r="997" spans="1:6" x14ac:dyDescent="0.25">
      <c r="A997" t="s">
        <v>98</v>
      </c>
      <c r="B997" s="6">
        <v>45688</v>
      </c>
      <c r="C997" t="s">
        <v>201</v>
      </c>
      <c r="D997" t="s">
        <v>180</v>
      </c>
      <c r="E997">
        <v>211067</v>
      </c>
      <c r="F997">
        <v>704.2133</v>
      </c>
    </row>
    <row r="998" spans="1:6" x14ac:dyDescent="0.25">
      <c r="A998" t="s">
        <v>98</v>
      </c>
      <c r="B998" s="6">
        <v>45688</v>
      </c>
      <c r="C998" t="s">
        <v>201</v>
      </c>
      <c r="D998" t="s">
        <v>180</v>
      </c>
      <c r="E998">
        <v>211239</v>
      </c>
      <c r="F998">
        <v>703.22090000000003</v>
      </c>
    </row>
    <row r="999" spans="1:6" x14ac:dyDescent="0.25">
      <c r="A999" t="s">
        <v>98</v>
      </c>
      <c r="B999" s="6">
        <v>45688</v>
      </c>
      <c r="C999" t="s">
        <v>201</v>
      </c>
      <c r="D999" t="s">
        <v>180</v>
      </c>
      <c r="E999">
        <v>211831</v>
      </c>
      <c r="F999">
        <v>702.07560000000001</v>
      </c>
    </row>
    <row r="1000" spans="1:6" x14ac:dyDescent="0.25">
      <c r="A1000" t="s">
        <v>98</v>
      </c>
      <c r="B1000" s="6">
        <v>45688</v>
      </c>
      <c r="C1000" t="s">
        <v>201</v>
      </c>
      <c r="D1000" t="s">
        <v>180</v>
      </c>
      <c r="E1000">
        <v>212611</v>
      </c>
      <c r="F1000">
        <v>701.16750000000002</v>
      </c>
    </row>
    <row r="1001" spans="1:6" x14ac:dyDescent="0.25">
      <c r="A1001" t="s">
        <v>98</v>
      </c>
      <c r="B1001" s="6">
        <v>45688</v>
      </c>
      <c r="C1001" t="s">
        <v>201</v>
      </c>
      <c r="D1001" t="s">
        <v>180</v>
      </c>
      <c r="E1001">
        <v>214184</v>
      </c>
      <c r="F1001">
        <v>700.11239999999998</v>
      </c>
    </row>
    <row r="1002" spans="1:6" x14ac:dyDescent="0.25">
      <c r="A1002" t="s">
        <v>98</v>
      </c>
      <c r="B1002" s="6">
        <v>45688</v>
      </c>
      <c r="C1002" t="s">
        <v>201</v>
      </c>
      <c r="D1002" t="s">
        <v>180</v>
      </c>
      <c r="E1002">
        <v>215797</v>
      </c>
      <c r="F1002">
        <v>699.06780000000003</v>
      </c>
    </row>
    <row r="1003" spans="1:6" x14ac:dyDescent="0.25">
      <c r="A1003" t="s">
        <v>98</v>
      </c>
      <c r="B1003" s="6">
        <v>45688</v>
      </c>
      <c r="C1003" t="s">
        <v>201</v>
      </c>
      <c r="D1003" t="s">
        <v>180</v>
      </c>
      <c r="E1003">
        <v>217168</v>
      </c>
      <c r="F1003">
        <v>698.35320000000002</v>
      </c>
    </row>
    <row r="1004" spans="1:6" x14ac:dyDescent="0.25">
      <c r="A1004" t="s">
        <v>98</v>
      </c>
      <c r="B1004" s="6">
        <v>45688</v>
      </c>
      <c r="C1004" t="s">
        <v>201</v>
      </c>
      <c r="D1004" t="s">
        <v>180</v>
      </c>
      <c r="E1004">
        <v>217833</v>
      </c>
      <c r="F1004">
        <v>696.99109999999996</v>
      </c>
    </row>
    <row r="1005" spans="1:6" x14ac:dyDescent="0.25">
      <c r="A1005" t="s">
        <v>98</v>
      </c>
      <c r="B1005" s="6">
        <v>45688</v>
      </c>
      <c r="C1005" t="s">
        <v>201</v>
      </c>
      <c r="D1005" t="s">
        <v>180</v>
      </c>
      <c r="E1005">
        <v>218521</v>
      </c>
      <c r="F1005">
        <v>696.08209999999997</v>
      </c>
    </row>
    <row r="1006" spans="1:6" x14ac:dyDescent="0.25">
      <c r="A1006" t="s">
        <v>98</v>
      </c>
      <c r="B1006" s="6">
        <v>45688</v>
      </c>
      <c r="C1006" t="s">
        <v>201</v>
      </c>
      <c r="D1006" t="s">
        <v>180</v>
      </c>
      <c r="E1006">
        <v>219133</v>
      </c>
      <c r="F1006">
        <v>694.65110000000004</v>
      </c>
    </row>
    <row r="1007" spans="1:6" x14ac:dyDescent="0.25">
      <c r="A1007" t="s">
        <v>98</v>
      </c>
      <c r="B1007" s="6">
        <v>45688</v>
      </c>
      <c r="C1007" t="s">
        <v>201</v>
      </c>
      <c r="D1007" t="s">
        <v>180</v>
      </c>
      <c r="E1007">
        <v>219733</v>
      </c>
      <c r="F1007">
        <v>693.20119999999997</v>
      </c>
    </row>
    <row r="1008" spans="1:6" x14ac:dyDescent="0.25">
      <c r="A1008" t="s">
        <v>98</v>
      </c>
      <c r="B1008" s="6">
        <v>45688</v>
      </c>
      <c r="C1008" t="s">
        <v>201</v>
      </c>
      <c r="D1008" t="s">
        <v>180</v>
      </c>
      <c r="E1008">
        <v>220250</v>
      </c>
      <c r="F1008">
        <v>692.46500000000003</v>
      </c>
    </row>
    <row r="1009" spans="1:6" x14ac:dyDescent="0.25">
      <c r="A1009" t="s">
        <v>98</v>
      </c>
      <c r="B1009" s="6">
        <v>45688</v>
      </c>
      <c r="C1009" t="s">
        <v>201</v>
      </c>
      <c r="D1009" t="s">
        <v>180</v>
      </c>
      <c r="E1009">
        <v>220650</v>
      </c>
      <c r="F1009">
        <v>690.84649999999999</v>
      </c>
    </row>
    <row r="1010" spans="1:6" x14ac:dyDescent="0.25">
      <c r="A1010" t="s">
        <v>98</v>
      </c>
      <c r="B1010" s="6">
        <v>45688</v>
      </c>
      <c r="C1010" t="s">
        <v>201</v>
      </c>
      <c r="D1010" t="s">
        <v>180</v>
      </c>
      <c r="E1010">
        <v>221277</v>
      </c>
      <c r="F1010">
        <v>689.42489999999998</v>
      </c>
    </row>
    <row r="1011" spans="1:6" x14ac:dyDescent="0.25">
      <c r="A1011" t="s">
        <v>98</v>
      </c>
      <c r="B1011" s="6">
        <v>45688</v>
      </c>
      <c r="C1011" t="s">
        <v>201</v>
      </c>
      <c r="D1011" t="s">
        <v>180</v>
      </c>
      <c r="E1011">
        <v>222056</v>
      </c>
      <c r="F1011">
        <v>688.50750000000005</v>
      </c>
    </row>
    <row r="1012" spans="1:6" x14ac:dyDescent="0.25">
      <c r="A1012" t="s">
        <v>98</v>
      </c>
      <c r="B1012" s="6">
        <v>45688</v>
      </c>
      <c r="C1012" t="s">
        <v>201</v>
      </c>
      <c r="D1012" t="s">
        <v>180</v>
      </c>
      <c r="E1012">
        <v>223056</v>
      </c>
      <c r="F1012">
        <v>687.51300000000003</v>
      </c>
    </row>
    <row r="1013" spans="1:6" x14ac:dyDescent="0.25">
      <c r="A1013" t="s">
        <v>98</v>
      </c>
      <c r="B1013" s="6">
        <v>45688</v>
      </c>
      <c r="C1013" t="s">
        <v>201</v>
      </c>
      <c r="D1013" t="s">
        <v>180</v>
      </c>
      <c r="E1013">
        <v>223554</v>
      </c>
      <c r="F1013">
        <v>686.42139999999995</v>
      </c>
    </row>
    <row r="1014" spans="1:6" x14ac:dyDescent="0.25">
      <c r="A1014" t="s">
        <v>98</v>
      </c>
      <c r="B1014" s="6">
        <v>45688</v>
      </c>
      <c r="C1014" t="s">
        <v>201</v>
      </c>
      <c r="D1014" t="s">
        <v>10</v>
      </c>
      <c r="E1014">
        <v>193236175</v>
      </c>
      <c r="F1014">
        <v>0</v>
      </c>
    </row>
    <row r="1015" spans="1:6" x14ac:dyDescent="0.25">
      <c r="A1015" t="s">
        <v>98</v>
      </c>
      <c r="B1015" s="6">
        <v>45688</v>
      </c>
      <c r="C1015" t="s">
        <v>201</v>
      </c>
      <c r="D1015" t="s">
        <v>180</v>
      </c>
      <c r="E1015">
        <v>0</v>
      </c>
      <c r="F1015">
        <v>704.93</v>
      </c>
    </row>
    <row r="1016" spans="1:6" x14ac:dyDescent="0.25">
      <c r="A1016" t="s">
        <v>98</v>
      </c>
      <c r="B1016" s="6">
        <v>45688</v>
      </c>
      <c r="C1016" t="s">
        <v>201</v>
      </c>
      <c r="D1016" t="s">
        <v>180</v>
      </c>
      <c r="E1016">
        <v>100</v>
      </c>
      <c r="F1016">
        <v>704.32860000000005</v>
      </c>
    </row>
    <row r="1017" spans="1:6" x14ac:dyDescent="0.25">
      <c r="A1017" t="s">
        <v>98</v>
      </c>
      <c r="B1017" s="6">
        <v>45688</v>
      </c>
      <c r="C1017" t="s">
        <v>201</v>
      </c>
      <c r="D1017" t="s">
        <v>180</v>
      </c>
      <c r="E1017">
        <v>540</v>
      </c>
      <c r="F1017">
        <v>703.471</v>
      </c>
    </row>
    <row r="1018" spans="1:6" x14ac:dyDescent="0.25">
      <c r="A1018" t="s">
        <v>98</v>
      </c>
      <c r="B1018" s="6">
        <v>45688</v>
      </c>
      <c r="C1018" t="s">
        <v>201</v>
      </c>
      <c r="D1018" t="s">
        <v>180</v>
      </c>
      <c r="E1018">
        <v>2133</v>
      </c>
      <c r="F1018">
        <v>702.32560000000001</v>
      </c>
    </row>
    <row r="1019" spans="1:6" x14ac:dyDescent="0.25">
      <c r="A1019" t="s">
        <v>98</v>
      </c>
      <c r="B1019" s="6">
        <v>45688</v>
      </c>
      <c r="C1019" t="s">
        <v>201</v>
      </c>
      <c r="D1019" t="s">
        <v>180</v>
      </c>
      <c r="E1019">
        <v>4923</v>
      </c>
      <c r="F1019">
        <v>701.26160000000004</v>
      </c>
    </row>
    <row r="1020" spans="1:6" x14ac:dyDescent="0.25">
      <c r="A1020" t="s">
        <v>98</v>
      </c>
      <c r="B1020" s="6">
        <v>45688</v>
      </c>
      <c r="C1020" t="s">
        <v>201</v>
      </c>
      <c r="D1020" t="s">
        <v>180</v>
      </c>
      <c r="E1020">
        <v>10762</v>
      </c>
      <c r="F1020">
        <v>700.24919999999997</v>
      </c>
    </row>
    <row r="1021" spans="1:6" x14ac:dyDescent="0.25">
      <c r="A1021" t="s">
        <v>98</v>
      </c>
      <c r="B1021" s="6">
        <v>45688</v>
      </c>
      <c r="C1021" t="s">
        <v>201</v>
      </c>
      <c r="D1021" t="s">
        <v>180</v>
      </c>
      <c r="E1021">
        <v>15684</v>
      </c>
      <c r="F1021">
        <v>699.38630000000001</v>
      </c>
    </row>
    <row r="1022" spans="1:6" x14ac:dyDescent="0.25">
      <c r="A1022" t="s">
        <v>98</v>
      </c>
      <c r="B1022" s="6">
        <v>45688</v>
      </c>
      <c r="C1022" t="s">
        <v>201</v>
      </c>
      <c r="D1022" t="s">
        <v>180</v>
      </c>
      <c r="E1022">
        <v>18307</v>
      </c>
      <c r="F1022">
        <v>698.29160000000002</v>
      </c>
    </row>
    <row r="1023" spans="1:6" x14ac:dyDescent="0.25">
      <c r="A1023" t="s">
        <v>98</v>
      </c>
      <c r="B1023" s="6">
        <v>45688</v>
      </c>
      <c r="C1023" t="s">
        <v>201</v>
      </c>
      <c r="D1023" t="s">
        <v>180</v>
      </c>
      <c r="E1023">
        <v>20016</v>
      </c>
      <c r="F1023">
        <v>697.19539999999995</v>
      </c>
    </row>
    <row r="1024" spans="1:6" x14ac:dyDescent="0.25">
      <c r="A1024" t="s">
        <v>98</v>
      </c>
      <c r="B1024" s="6">
        <v>45688</v>
      </c>
      <c r="C1024" t="s">
        <v>201</v>
      </c>
      <c r="D1024" t="s">
        <v>180</v>
      </c>
      <c r="E1024">
        <v>21127</v>
      </c>
      <c r="F1024">
        <v>696.0915</v>
      </c>
    </row>
    <row r="1025" spans="1:6" x14ac:dyDescent="0.25">
      <c r="A1025" t="s">
        <v>98</v>
      </c>
      <c r="B1025" s="6">
        <v>45688</v>
      </c>
      <c r="C1025" t="s">
        <v>201</v>
      </c>
      <c r="D1025" t="s">
        <v>180</v>
      </c>
      <c r="E1025">
        <v>21961</v>
      </c>
      <c r="F1025">
        <v>694.82690000000002</v>
      </c>
    </row>
    <row r="1026" spans="1:6" x14ac:dyDescent="0.25">
      <c r="A1026" t="s">
        <v>98</v>
      </c>
      <c r="B1026" s="6">
        <v>45688</v>
      </c>
      <c r="C1026" t="s">
        <v>201</v>
      </c>
      <c r="D1026" t="s">
        <v>180</v>
      </c>
      <c r="E1026">
        <v>23051</v>
      </c>
      <c r="F1026">
        <v>693.98119999999994</v>
      </c>
    </row>
    <row r="1027" spans="1:6" x14ac:dyDescent="0.25">
      <c r="A1027" t="s">
        <v>98</v>
      </c>
      <c r="B1027" s="6">
        <v>45688</v>
      </c>
      <c r="C1027" t="s">
        <v>201</v>
      </c>
      <c r="D1027" t="s">
        <v>180</v>
      </c>
      <c r="E1027">
        <v>23927</v>
      </c>
      <c r="F1027">
        <v>693.00429999999994</v>
      </c>
    </row>
    <row r="1028" spans="1:6" x14ac:dyDescent="0.25">
      <c r="A1028" t="s">
        <v>98</v>
      </c>
      <c r="B1028" s="6">
        <v>45688</v>
      </c>
      <c r="C1028" t="s">
        <v>201</v>
      </c>
      <c r="D1028" t="s">
        <v>180</v>
      </c>
      <c r="E1028">
        <v>25038</v>
      </c>
      <c r="F1028">
        <v>691.64530000000002</v>
      </c>
    </row>
    <row r="1029" spans="1:6" x14ac:dyDescent="0.25">
      <c r="A1029" t="s">
        <v>98</v>
      </c>
      <c r="B1029" s="6">
        <v>45688</v>
      </c>
      <c r="C1029" t="s">
        <v>201</v>
      </c>
      <c r="D1029" t="s">
        <v>180</v>
      </c>
      <c r="E1029">
        <v>25555</v>
      </c>
      <c r="F1029">
        <v>690.5077</v>
      </c>
    </row>
    <row r="1030" spans="1:6" x14ac:dyDescent="0.25">
      <c r="A1030" t="s">
        <v>98</v>
      </c>
      <c r="B1030" s="6">
        <v>45688</v>
      </c>
      <c r="C1030" t="s">
        <v>201</v>
      </c>
      <c r="D1030" t="s">
        <v>180</v>
      </c>
      <c r="E1030">
        <v>26263</v>
      </c>
      <c r="F1030">
        <v>689.39750000000004</v>
      </c>
    </row>
    <row r="1031" spans="1:6" x14ac:dyDescent="0.25">
      <c r="A1031" t="s">
        <v>98</v>
      </c>
      <c r="B1031" s="6">
        <v>45688</v>
      </c>
      <c r="C1031" t="s">
        <v>201</v>
      </c>
      <c r="D1031" t="s">
        <v>180</v>
      </c>
      <c r="E1031">
        <v>27737</v>
      </c>
      <c r="F1031">
        <v>688.49590000000001</v>
      </c>
    </row>
    <row r="1032" spans="1:6" x14ac:dyDescent="0.25">
      <c r="A1032" t="s">
        <v>98</v>
      </c>
      <c r="B1032" s="6">
        <v>45688</v>
      </c>
      <c r="C1032" t="s">
        <v>201</v>
      </c>
      <c r="D1032" t="s">
        <v>180</v>
      </c>
      <c r="E1032">
        <v>29499</v>
      </c>
      <c r="F1032">
        <v>687.51620000000003</v>
      </c>
    </row>
    <row r="1033" spans="1:6" x14ac:dyDescent="0.25">
      <c r="A1033" t="s">
        <v>98</v>
      </c>
      <c r="B1033" s="6">
        <v>45688</v>
      </c>
      <c r="C1033" t="s">
        <v>201</v>
      </c>
      <c r="D1033" t="s">
        <v>180</v>
      </c>
      <c r="E1033">
        <v>30233</v>
      </c>
      <c r="F1033">
        <v>686.5625</v>
      </c>
    </row>
    <row r="1034" spans="1:6" x14ac:dyDescent="0.25">
      <c r="A1034" t="s">
        <v>98</v>
      </c>
      <c r="B1034" s="6">
        <v>45688</v>
      </c>
      <c r="C1034" t="s">
        <v>201</v>
      </c>
      <c r="D1034" t="s">
        <v>10</v>
      </c>
      <c r="E1034">
        <v>30908</v>
      </c>
      <c r="F1034">
        <v>0</v>
      </c>
    </row>
    <row r="1035" spans="1:6" x14ac:dyDescent="0.25">
      <c r="A1035" t="s">
        <v>98</v>
      </c>
      <c r="B1035" s="6">
        <v>45687</v>
      </c>
      <c r="C1035" t="s">
        <v>201</v>
      </c>
      <c r="D1035" t="s">
        <v>180</v>
      </c>
      <c r="E1035">
        <v>223946</v>
      </c>
      <c r="F1035">
        <v>709.41840000000002</v>
      </c>
    </row>
    <row r="1036" spans="1:6" x14ac:dyDescent="0.25">
      <c r="A1036" t="s">
        <v>98</v>
      </c>
      <c r="B1036" s="6">
        <v>45687</v>
      </c>
      <c r="C1036" t="s">
        <v>201</v>
      </c>
      <c r="D1036" t="s">
        <v>180</v>
      </c>
      <c r="E1036">
        <v>224142</v>
      </c>
      <c r="F1036">
        <v>708</v>
      </c>
    </row>
    <row r="1037" spans="1:6" x14ac:dyDescent="0.25">
      <c r="A1037" t="s">
        <v>98</v>
      </c>
      <c r="B1037" s="6">
        <v>45687</v>
      </c>
      <c r="C1037" t="s">
        <v>201</v>
      </c>
      <c r="D1037" t="s">
        <v>180</v>
      </c>
      <c r="E1037">
        <v>224242</v>
      </c>
      <c r="F1037">
        <v>707.07389999999998</v>
      </c>
    </row>
    <row r="1038" spans="1:6" x14ac:dyDescent="0.25">
      <c r="A1038" t="s">
        <v>98</v>
      </c>
      <c r="B1038" s="6">
        <v>45687</v>
      </c>
      <c r="C1038" t="s">
        <v>201</v>
      </c>
      <c r="D1038" t="s">
        <v>180</v>
      </c>
      <c r="E1038">
        <v>224769</v>
      </c>
      <c r="F1038">
        <v>705.75729999999999</v>
      </c>
    </row>
    <row r="1039" spans="1:6" x14ac:dyDescent="0.25">
      <c r="A1039" t="s">
        <v>98</v>
      </c>
      <c r="B1039" s="6">
        <v>45687</v>
      </c>
      <c r="C1039" t="s">
        <v>201</v>
      </c>
      <c r="D1039" t="s">
        <v>180</v>
      </c>
      <c r="E1039">
        <v>225257</v>
      </c>
      <c r="F1039">
        <v>704.65340000000003</v>
      </c>
    </row>
    <row r="1040" spans="1:6" x14ac:dyDescent="0.25">
      <c r="A1040" t="s">
        <v>98</v>
      </c>
      <c r="B1040" s="6">
        <v>45687</v>
      </c>
      <c r="C1040" t="s">
        <v>201</v>
      </c>
      <c r="D1040" t="s">
        <v>180</v>
      </c>
      <c r="E1040">
        <v>225884</v>
      </c>
      <c r="F1040">
        <v>703.59230000000002</v>
      </c>
    </row>
    <row r="1041" spans="1:6" x14ac:dyDescent="0.25">
      <c r="A1041" t="s">
        <v>98</v>
      </c>
      <c r="B1041" s="6">
        <v>45687</v>
      </c>
      <c r="C1041" t="s">
        <v>201</v>
      </c>
      <c r="D1041" t="s">
        <v>180</v>
      </c>
      <c r="E1041">
        <v>226685</v>
      </c>
      <c r="F1041">
        <v>702.24369999999999</v>
      </c>
    </row>
    <row r="1042" spans="1:6" x14ac:dyDescent="0.25">
      <c r="A1042" t="s">
        <v>98</v>
      </c>
      <c r="B1042" s="6">
        <v>45687</v>
      </c>
      <c r="C1042" t="s">
        <v>201</v>
      </c>
      <c r="D1042" t="s">
        <v>180</v>
      </c>
      <c r="E1042">
        <v>227071</v>
      </c>
      <c r="F1042">
        <v>701.56719999999996</v>
      </c>
    </row>
    <row r="1043" spans="1:6" x14ac:dyDescent="0.25">
      <c r="A1043" t="s">
        <v>98</v>
      </c>
      <c r="B1043" s="6">
        <v>45687</v>
      </c>
      <c r="C1043" t="s">
        <v>201</v>
      </c>
      <c r="D1043" t="s">
        <v>180</v>
      </c>
      <c r="E1043">
        <v>227437</v>
      </c>
      <c r="F1043">
        <v>697.65</v>
      </c>
    </row>
    <row r="1044" spans="1:6" x14ac:dyDescent="0.25">
      <c r="A1044" t="s">
        <v>98</v>
      </c>
      <c r="B1044" s="6">
        <v>45687</v>
      </c>
      <c r="C1044" t="s">
        <v>201</v>
      </c>
      <c r="D1044" t="s">
        <v>180</v>
      </c>
      <c r="E1044">
        <v>227629</v>
      </c>
      <c r="F1044">
        <v>695.88</v>
      </c>
    </row>
    <row r="1045" spans="1:6" x14ac:dyDescent="0.25">
      <c r="A1045" t="s">
        <v>98</v>
      </c>
      <c r="B1045" s="6">
        <v>45687</v>
      </c>
      <c r="C1045" t="s">
        <v>201</v>
      </c>
      <c r="D1045" t="s">
        <v>180</v>
      </c>
      <c r="E1045">
        <v>227821</v>
      </c>
      <c r="F1045">
        <v>694.84699999999998</v>
      </c>
    </row>
    <row r="1046" spans="1:6" x14ac:dyDescent="0.25">
      <c r="A1046" t="s">
        <v>98</v>
      </c>
      <c r="B1046" s="6">
        <v>45687</v>
      </c>
      <c r="C1046" t="s">
        <v>201</v>
      </c>
      <c r="D1046" t="s">
        <v>180</v>
      </c>
      <c r="E1046">
        <v>228113</v>
      </c>
      <c r="F1046">
        <v>693.19280000000003</v>
      </c>
    </row>
    <row r="1047" spans="1:6" x14ac:dyDescent="0.25">
      <c r="A1047" t="s">
        <v>98</v>
      </c>
      <c r="B1047" s="6">
        <v>45687</v>
      </c>
      <c r="C1047" t="s">
        <v>201</v>
      </c>
      <c r="D1047" t="s">
        <v>180</v>
      </c>
      <c r="E1047">
        <v>228367</v>
      </c>
      <c r="F1047">
        <v>692.57399999999996</v>
      </c>
    </row>
    <row r="1048" spans="1:6" x14ac:dyDescent="0.25">
      <c r="A1048" t="s">
        <v>98</v>
      </c>
      <c r="B1048" s="6">
        <v>45687</v>
      </c>
      <c r="C1048" t="s">
        <v>201</v>
      </c>
      <c r="D1048" t="s">
        <v>180</v>
      </c>
      <c r="E1048">
        <v>228852</v>
      </c>
      <c r="F1048">
        <v>691.56470000000002</v>
      </c>
    </row>
    <row r="1049" spans="1:6" x14ac:dyDescent="0.25">
      <c r="A1049" t="s">
        <v>98</v>
      </c>
      <c r="B1049" s="6">
        <v>45687</v>
      </c>
      <c r="C1049" t="s">
        <v>201</v>
      </c>
      <c r="D1049" t="s">
        <v>180</v>
      </c>
      <c r="E1049">
        <v>229249</v>
      </c>
      <c r="F1049">
        <v>690.27319999999997</v>
      </c>
    </row>
    <row r="1050" spans="1:6" x14ac:dyDescent="0.25">
      <c r="A1050" t="s">
        <v>98</v>
      </c>
      <c r="B1050" s="6">
        <v>45687</v>
      </c>
      <c r="C1050" t="s">
        <v>201</v>
      </c>
      <c r="D1050" t="s">
        <v>180</v>
      </c>
      <c r="E1050">
        <v>230736</v>
      </c>
      <c r="F1050">
        <v>689.16790000000003</v>
      </c>
    </row>
    <row r="1051" spans="1:6" x14ac:dyDescent="0.25">
      <c r="A1051" t="s">
        <v>98</v>
      </c>
      <c r="B1051" s="6">
        <v>45687</v>
      </c>
      <c r="C1051" t="s">
        <v>201</v>
      </c>
      <c r="D1051" t="s">
        <v>180</v>
      </c>
      <c r="E1051">
        <v>231924</v>
      </c>
      <c r="F1051">
        <v>688.08150000000001</v>
      </c>
    </row>
    <row r="1052" spans="1:6" x14ac:dyDescent="0.25">
      <c r="A1052" t="s">
        <v>98</v>
      </c>
      <c r="B1052" s="6">
        <v>45687</v>
      </c>
      <c r="C1052" t="s">
        <v>201</v>
      </c>
      <c r="D1052" t="s">
        <v>180</v>
      </c>
      <c r="E1052">
        <v>233589</v>
      </c>
      <c r="F1052">
        <v>687.15099999999995</v>
      </c>
    </row>
    <row r="1053" spans="1:6" x14ac:dyDescent="0.25">
      <c r="A1053" t="s">
        <v>98</v>
      </c>
      <c r="B1053" s="6">
        <v>45687</v>
      </c>
      <c r="C1053" t="s">
        <v>201</v>
      </c>
      <c r="D1053" t="s">
        <v>180</v>
      </c>
      <c r="E1053">
        <v>235297</v>
      </c>
      <c r="F1053">
        <v>686.16980000000001</v>
      </c>
    </row>
    <row r="1054" spans="1:6" x14ac:dyDescent="0.25">
      <c r="A1054" t="s">
        <v>98</v>
      </c>
      <c r="B1054" s="6">
        <v>45687</v>
      </c>
      <c r="C1054" t="s">
        <v>201</v>
      </c>
      <c r="D1054" t="s">
        <v>180</v>
      </c>
      <c r="E1054">
        <v>236269</v>
      </c>
      <c r="F1054">
        <v>683.61590000000001</v>
      </c>
    </row>
    <row r="1055" spans="1:6" x14ac:dyDescent="0.25">
      <c r="A1055" t="s">
        <v>98</v>
      </c>
      <c r="B1055" s="6">
        <v>45687</v>
      </c>
      <c r="C1055" t="s">
        <v>201</v>
      </c>
      <c r="D1055" t="s">
        <v>180</v>
      </c>
      <c r="E1055">
        <v>236534</v>
      </c>
      <c r="F1055">
        <v>680.48500000000001</v>
      </c>
    </row>
    <row r="1056" spans="1:6" x14ac:dyDescent="0.25">
      <c r="A1056" t="s">
        <v>98</v>
      </c>
      <c r="B1056" s="6">
        <v>45687</v>
      </c>
      <c r="C1056" t="s">
        <v>201</v>
      </c>
      <c r="D1056" t="s">
        <v>180</v>
      </c>
      <c r="E1056">
        <v>236726</v>
      </c>
      <c r="F1056">
        <v>679.18730000000005</v>
      </c>
    </row>
    <row r="1057" spans="1:6" x14ac:dyDescent="0.25">
      <c r="A1057" t="s">
        <v>98</v>
      </c>
      <c r="B1057" s="6">
        <v>45687</v>
      </c>
      <c r="C1057" t="s">
        <v>201</v>
      </c>
      <c r="D1057" t="s">
        <v>180</v>
      </c>
      <c r="E1057">
        <v>236825</v>
      </c>
      <c r="F1057">
        <v>676.7</v>
      </c>
    </row>
    <row r="1058" spans="1:6" x14ac:dyDescent="0.25">
      <c r="A1058" t="s">
        <v>98</v>
      </c>
      <c r="B1058" s="6">
        <v>45687</v>
      </c>
      <c r="C1058" t="s">
        <v>201</v>
      </c>
      <c r="D1058" t="s">
        <v>10</v>
      </c>
      <c r="E1058">
        <v>193267083</v>
      </c>
      <c r="F1058">
        <v>0</v>
      </c>
    </row>
    <row r="1059" spans="1:6" x14ac:dyDescent="0.25">
      <c r="A1059" t="s">
        <v>98</v>
      </c>
      <c r="B1059" s="6">
        <v>45687</v>
      </c>
      <c r="C1059" t="s">
        <v>201</v>
      </c>
      <c r="D1059" t="s">
        <v>180</v>
      </c>
      <c r="E1059">
        <v>0</v>
      </c>
      <c r="F1059">
        <v>709.13720000000001</v>
      </c>
    </row>
    <row r="1060" spans="1:6" x14ac:dyDescent="0.25">
      <c r="A1060" t="s">
        <v>98</v>
      </c>
      <c r="B1060" s="6">
        <v>45687</v>
      </c>
      <c r="C1060" t="s">
        <v>201</v>
      </c>
      <c r="D1060" t="s">
        <v>180</v>
      </c>
      <c r="E1060">
        <v>305</v>
      </c>
      <c r="F1060">
        <v>708.27940000000001</v>
      </c>
    </row>
    <row r="1061" spans="1:6" x14ac:dyDescent="0.25">
      <c r="A1061" t="s">
        <v>98</v>
      </c>
      <c r="B1061" s="6">
        <v>45687</v>
      </c>
      <c r="C1061" t="s">
        <v>201</v>
      </c>
      <c r="D1061" t="s">
        <v>180</v>
      </c>
      <c r="E1061">
        <v>1204</v>
      </c>
      <c r="F1061">
        <v>707.25300000000004</v>
      </c>
    </row>
    <row r="1062" spans="1:6" x14ac:dyDescent="0.25">
      <c r="A1062" t="s">
        <v>98</v>
      </c>
      <c r="B1062" s="6">
        <v>45687</v>
      </c>
      <c r="C1062" t="s">
        <v>201</v>
      </c>
      <c r="D1062" t="s">
        <v>180</v>
      </c>
      <c r="E1062">
        <v>2479</v>
      </c>
      <c r="F1062">
        <v>706.19550000000004</v>
      </c>
    </row>
    <row r="1063" spans="1:6" x14ac:dyDescent="0.25">
      <c r="A1063" t="s">
        <v>98</v>
      </c>
      <c r="B1063" s="6">
        <v>45687</v>
      </c>
      <c r="C1063" t="s">
        <v>201</v>
      </c>
      <c r="D1063" t="s">
        <v>180</v>
      </c>
      <c r="E1063">
        <v>3839</v>
      </c>
      <c r="F1063">
        <v>704.94190000000003</v>
      </c>
    </row>
    <row r="1064" spans="1:6" x14ac:dyDescent="0.25">
      <c r="A1064" t="s">
        <v>98</v>
      </c>
      <c r="B1064" s="6">
        <v>45687</v>
      </c>
      <c r="C1064" t="s">
        <v>201</v>
      </c>
      <c r="D1064" t="s">
        <v>180</v>
      </c>
      <c r="E1064">
        <v>5967</v>
      </c>
      <c r="F1064">
        <v>704.0598</v>
      </c>
    </row>
    <row r="1065" spans="1:6" x14ac:dyDescent="0.25">
      <c r="A1065" t="s">
        <v>98</v>
      </c>
      <c r="B1065" s="6">
        <v>45687</v>
      </c>
      <c r="C1065" t="s">
        <v>201</v>
      </c>
      <c r="D1065" t="s">
        <v>180</v>
      </c>
      <c r="E1065">
        <v>7406</v>
      </c>
      <c r="F1065">
        <v>703.19989999999996</v>
      </c>
    </row>
    <row r="1066" spans="1:6" x14ac:dyDescent="0.25">
      <c r="A1066" t="s">
        <v>98</v>
      </c>
      <c r="B1066" s="6">
        <v>45687</v>
      </c>
      <c r="C1066" t="s">
        <v>201</v>
      </c>
      <c r="D1066" t="s">
        <v>180</v>
      </c>
      <c r="E1066">
        <v>9134</v>
      </c>
      <c r="F1066">
        <v>702.06859999999995</v>
      </c>
    </row>
    <row r="1067" spans="1:6" x14ac:dyDescent="0.25">
      <c r="A1067" t="s">
        <v>98</v>
      </c>
      <c r="B1067" s="6">
        <v>45687</v>
      </c>
      <c r="C1067" t="s">
        <v>201</v>
      </c>
      <c r="D1067" t="s">
        <v>180</v>
      </c>
      <c r="E1067">
        <v>10884</v>
      </c>
      <c r="F1067">
        <v>700.8039</v>
      </c>
    </row>
    <row r="1068" spans="1:6" x14ac:dyDescent="0.25">
      <c r="A1068" t="s">
        <v>98</v>
      </c>
      <c r="B1068" s="6">
        <v>45687</v>
      </c>
      <c r="C1068" t="s">
        <v>201</v>
      </c>
      <c r="D1068" t="s">
        <v>180</v>
      </c>
      <c r="E1068">
        <v>11804</v>
      </c>
      <c r="F1068">
        <v>698</v>
      </c>
    </row>
    <row r="1069" spans="1:6" x14ac:dyDescent="0.25">
      <c r="A1069" t="s">
        <v>98</v>
      </c>
      <c r="B1069" s="6">
        <v>45687</v>
      </c>
      <c r="C1069" t="s">
        <v>201</v>
      </c>
      <c r="D1069" t="s">
        <v>180</v>
      </c>
      <c r="E1069">
        <v>11904</v>
      </c>
      <c r="F1069">
        <v>696.68370000000004</v>
      </c>
    </row>
    <row r="1070" spans="1:6" x14ac:dyDescent="0.25">
      <c r="A1070" t="s">
        <v>98</v>
      </c>
      <c r="B1070" s="6">
        <v>45687</v>
      </c>
      <c r="C1070" t="s">
        <v>201</v>
      </c>
      <c r="D1070" t="s">
        <v>180</v>
      </c>
      <c r="E1070">
        <v>12094</v>
      </c>
      <c r="F1070">
        <v>695.35799999999995</v>
      </c>
    </row>
    <row r="1071" spans="1:6" x14ac:dyDescent="0.25">
      <c r="A1071" t="s">
        <v>98</v>
      </c>
      <c r="B1071" s="6">
        <v>45687</v>
      </c>
      <c r="C1071" t="s">
        <v>201</v>
      </c>
      <c r="D1071" t="s">
        <v>180</v>
      </c>
      <c r="E1071">
        <v>12503</v>
      </c>
      <c r="F1071">
        <v>693.56</v>
      </c>
    </row>
    <row r="1072" spans="1:6" x14ac:dyDescent="0.25">
      <c r="A1072" t="s">
        <v>98</v>
      </c>
      <c r="B1072" s="6">
        <v>45687</v>
      </c>
      <c r="C1072" t="s">
        <v>201</v>
      </c>
      <c r="D1072" t="s">
        <v>180</v>
      </c>
      <c r="E1072">
        <v>12603</v>
      </c>
      <c r="F1072">
        <v>692.95039999999995</v>
      </c>
    </row>
    <row r="1073" spans="1:6" x14ac:dyDescent="0.25">
      <c r="A1073" t="s">
        <v>98</v>
      </c>
      <c r="B1073" s="6">
        <v>45687</v>
      </c>
      <c r="C1073" t="s">
        <v>201</v>
      </c>
      <c r="D1073" t="s">
        <v>180</v>
      </c>
      <c r="E1073">
        <v>13625</v>
      </c>
      <c r="F1073">
        <v>692.01049999999998</v>
      </c>
    </row>
    <row r="1074" spans="1:6" x14ac:dyDescent="0.25">
      <c r="A1074" t="s">
        <v>98</v>
      </c>
      <c r="B1074" s="6">
        <v>45687</v>
      </c>
      <c r="C1074" t="s">
        <v>201</v>
      </c>
      <c r="D1074" t="s">
        <v>180</v>
      </c>
      <c r="E1074">
        <v>14431</v>
      </c>
      <c r="F1074">
        <v>690.92309999999998</v>
      </c>
    </row>
    <row r="1075" spans="1:6" x14ac:dyDescent="0.25">
      <c r="A1075" t="s">
        <v>98</v>
      </c>
      <c r="B1075" s="6">
        <v>45687</v>
      </c>
      <c r="C1075" t="s">
        <v>201</v>
      </c>
      <c r="D1075" t="s">
        <v>180</v>
      </c>
      <c r="E1075">
        <v>15625</v>
      </c>
      <c r="F1075">
        <v>690.00469999999996</v>
      </c>
    </row>
    <row r="1076" spans="1:6" x14ac:dyDescent="0.25">
      <c r="A1076" t="s">
        <v>98</v>
      </c>
      <c r="B1076" s="6">
        <v>45687</v>
      </c>
      <c r="C1076" t="s">
        <v>201</v>
      </c>
      <c r="D1076" t="s">
        <v>180</v>
      </c>
      <c r="E1076">
        <v>18339</v>
      </c>
      <c r="F1076">
        <v>688.80359999999996</v>
      </c>
    </row>
    <row r="1077" spans="1:6" x14ac:dyDescent="0.25">
      <c r="A1077" t="s">
        <v>98</v>
      </c>
      <c r="B1077" s="6">
        <v>45687</v>
      </c>
      <c r="C1077" t="s">
        <v>201</v>
      </c>
      <c r="D1077" t="s">
        <v>180</v>
      </c>
      <c r="E1077">
        <v>20493</v>
      </c>
      <c r="F1077">
        <v>687.88729999999998</v>
      </c>
    </row>
    <row r="1078" spans="1:6" x14ac:dyDescent="0.25">
      <c r="A1078" t="s">
        <v>98</v>
      </c>
      <c r="B1078" s="6">
        <v>45687</v>
      </c>
      <c r="C1078" t="s">
        <v>201</v>
      </c>
      <c r="D1078" t="s">
        <v>180</v>
      </c>
      <c r="E1078">
        <v>23592</v>
      </c>
      <c r="F1078">
        <v>686.91290000000004</v>
      </c>
    </row>
    <row r="1079" spans="1:6" x14ac:dyDescent="0.25">
      <c r="A1079" t="s">
        <v>98</v>
      </c>
      <c r="B1079" s="6">
        <v>45687</v>
      </c>
      <c r="C1079" t="s">
        <v>201</v>
      </c>
      <c r="D1079" t="s">
        <v>180</v>
      </c>
      <c r="E1079">
        <v>26399</v>
      </c>
      <c r="F1079">
        <v>685.83040000000005</v>
      </c>
    </row>
    <row r="1080" spans="1:6" x14ac:dyDescent="0.25">
      <c r="A1080" t="s">
        <v>98</v>
      </c>
      <c r="B1080" s="6">
        <v>45687</v>
      </c>
      <c r="C1080" t="s">
        <v>201</v>
      </c>
      <c r="D1080" t="s">
        <v>180</v>
      </c>
      <c r="E1080">
        <v>27379</v>
      </c>
      <c r="F1080">
        <v>684.56719999999996</v>
      </c>
    </row>
    <row r="1081" spans="1:6" x14ac:dyDescent="0.25">
      <c r="A1081" t="s">
        <v>98</v>
      </c>
      <c r="B1081" s="6">
        <v>45687</v>
      </c>
      <c r="C1081" t="s">
        <v>201</v>
      </c>
      <c r="D1081" t="s">
        <v>180</v>
      </c>
      <c r="E1081">
        <v>27669</v>
      </c>
      <c r="F1081">
        <v>683.33</v>
      </c>
    </row>
    <row r="1082" spans="1:6" x14ac:dyDescent="0.25">
      <c r="A1082" t="s">
        <v>98</v>
      </c>
      <c r="B1082" s="6">
        <v>45687</v>
      </c>
      <c r="C1082" t="s">
        <v>201</v>
      </c>
      <c r="D1082" t="s">
        <v>180</v>
      </c>
      <c r="E1082">
        <v>27769</v>
      </c>
      <c r="F1082">
        <v>680.5</v>
      </c>
    </row>
    <row r="1083" spans="1:6" x14ac:dyDescent="0.25">
      <c r="A1083" t="s">
        <v>98</v>
      </c>
      <c r="B1083" s="6">
        <v>45687</v>
      </c>
      <c r="C1083" t="s">
        <v>201</v>
      </c>
      <c r="D1083" t="s">
        <v>180</v>
      </c>
      <c r="E1083">
        <v>28069</v>
      </c>
      <c r="F1083">
        <v>679.55709999999999</v>
      </c>
    </row>
    <row r="1084" spans="1:6" x14ac:dyDescent="0.25">
      <c r="A1084" t="s">
        <v>98</v>
      </c>
      <c r="B1084" s="6">
        <v>45687</v>
      </c>
      <c r="C1084" t="s">
        <v>201</v>
      </c>
      <c r="D1084" t="s">
        <v>180</v>
      </c>
      <c r="E1084">
        <v>28449</v>
      </c>
      <c r="F1084">
        <v>677.98</v>
      </c>
    </row>
    <row r="1085" spans="1:6" x14ac:dyDescent="0.25">
      <c r="A1085" t="s">
        <v>98</v>
      </c>
      <c r="B1085" s="6">
        <v>45687</v>
      </c>
      <c r="C1085" t="s">
        <v>201</v>
      </c>
      <c r="D1085" t="s">
        <v>10</v>
      </c>
      <c r="E1085">
        <v>28549</v>
      </c>
      <c r="F1085">
        <v>0</v>
      </c>
    </row>
    <row r="1086" spans="1:6" x14ac:dyDescent="0.25">
      <c r="A1086" t="s">
        <v>98</v>
      </c>
      <c r="B1086" s="6">
        <v>45686</v>
      </c>
      <c r="C1086" t="s">
        <v>201</v>
      </c>
      <c r="D1086" t="s">
        <v>10</v>
      </c>
      <c r="E1086">
        <v>193295632</v>
      </c>
      <c r="F1086">
        <v>0</v>
      </c>
    </row>
    <row r="1087" spans="1:6" x14ac:dyDescent="0.25">
      <c r="A1087" t="s">
        <v>98</v>
      </c>
      <c r="B1087" s="6">
        <v>45686</v>
      </c>
      <c r="C1087" t="s">
        <v>201</v>
      </c>
      <c r="D1087" t="s">
        <v>180</v>
      </c>
      <c r="E1087">
        <v>236921</v>
      </c>
      <c r="F1087">
        <v>679.79790000000003</v>
      </c>
    </row>
    <row r="1088" spans="1:6" x14ac:dyDescent="0.25">
      <c r="A1088" t="s">
        <v>98</v>
      </c>
      <c r="B1088" s="6">
        <v>45686</v>
      </c>
      <c r="C1088" t="s">
        <v>201</v>
      </c>
      <c r="D1088" t="s">
        <v>180</v>
      </c>
      <c r="E1088">
        <v>237462</v>
      </c>
      <c r="F1088">
        <v>678.76549999999997</v>
      </c>
    </row>
    <row r="1089" spans="1:6" x14ac:dyDescent="0.25">
      <c r="A1089" t="s">
        <v>98</v>
      </c>
      <c r="B1089" s="6">
        <v>45686</v>
      </c>
      <c r="C1089" t="s">
        <v>201</v>
      </c>
      <c r="D1089" t="s">
        <v>180</v>
      </c>
      <c r="E1089">
        <v>238046</v>
      </c>
      <c r="F1089">
        <v>677.58349999999996</v>
      </c>
    </row>
    <row r="1090" spans="1:6" x14ac:dyDescent="0.25">
      <c r="A1090" t="s">
        <v>98</v>
      </c>
      <c r="B1090" s="6">
        <v>45686</v>
      </c>
      <c r="C1090" t="s">
        <v>201</v>
      </c>
      <c r="D1090" t="s">
        <v>180</v>
      </c>
      <c r="E1090">
        <v>239030</v>
      </c>
      <c r="F1090">
        <v>676.89670000000001</v>
      </c>
    </row>
    <row r="1091" spans="1:6" x14ac:dyDescent="0.25">
      <c r="A1091" t="s">
        <v>98</v>
      </c>
      <c r="B1091" s="6">
        <v>45686</v>
      </c>
      <c r="C1091" t="s">
        <v>201</v>
      </c>
      <c r="D1091" t="s">
        <v>180</v>
      </c>
      <c r="E1091">
        <v>240025</v>
      </c>
      <c r="F1091">
        <v>675.72059999999999</v>
      </c>
    </row>
    <row r="1092" spans="1:6" x14ac:dyDescent="0.25">
      <c r="A1092" t="s">
        <v>98</v>
      </c>
      <c r="B1092" s="6">
        <v>45686</v>
      </c>
      <c r="C1092" t="s">
        <v>201</v>
      </c>
      <c r="D1092" t="s">
        <v>180</v>
      </c>
      <c r="E1092">
        <v>240743</v>
      </c>
      <c r="F1092">
        <v>674.52160000000003</v>
      </c>
    </row>
    <row r="1093" spans="1:6" x14ac:dyDescent="0.25">
      <c r="A1093" t="s">
        <v>98</v>
      </c>
      <c r="B1093" s="6">
        <v>45686</v>
      </c>
      <c r="C1093" t="s">
        <v>201</v>
      </c>
      <c r="D1093" t="s">
        <v>180</v>
      </c>
      <c r="E1093">
        <v>241937</v>
      </c>
      <c r="F1093">
        <v>673.36130000000003</v>
      </c>
    </row>
    <row r="1094" spans="1:6" x14ac:dyDescent="0.25">
      <c r="A1094" t="s">
        <v>98</v>
      </c>
      <c r="B1094" s="6">
        <v>45686</v>
      </c>
      <c r="C1094" t="s">
        <v>201</v>
      </c>
      <c r="D1094" t="s">
        <v>180</v>
      </c>
      <c r="E1094">
        <v>244299</v>
      </c>
      <c r="F1094">
        <v>672.5761</v>
      </c>
    </row>
    <row r="1095" spans="1:6" x14ac:dyDescent="0.25">
      <c r="A1095" t="s">
        <v>98</v>
      </c>
      <c r="B1095" s="6">
        <v>45686</v>
      </c>
      <c r="C1095" t="s">
        <v>201</v>
      </c>
      <c r="D1095" t="s">
        <v>180</v>
      </c>
      <c r="E1095">
        <v>245861</v>
      </c>
      <c r="F1095">
        <v>671.39369999999997</v>
      </c>
    </row>
    <row r="1096" spans="1:6" x14ac:dyDescent="0.25">
      <c r="A1096" t="s">
        <v>98</v>
      </c>
      <c r="B1096" s="6">
        <v>45686</v>
      </c>
      <c r="C1096" t="s">
        <v>201</v>
      </c>
      <c r="D1096" t="s">
        <v>180</v>
      </c>
      <c r="E1096">
        <v>247692</v>
      </c>
      <c r="F1096">
        <v>670.2749</v>
      </c>
    </row>
    <row r="1097" spans="1:6" x14ac:dyDescent="0.25">
      <c r="A1097" t="s">
        <v>98</v>
      </c>
      <c r="B1097" s="6">
        <v>45686</v>
      </c>
      <c r="C1097" t="s">
        <v>201</v>
      </c>
      <c r="D1097" t="s">
        <v>180</v>
      </c>
      <c r="E1097">
        <v>248658</v>
      </c>
      <c r="F1097">
        <v>669.04110000000003</v>
      </c>
    </row>
    <row r="1098" spans="1:6" x14ac:dyDescent="0.25">
      <c r="A1098" t="s">
        <v>98</v>
      </c>
      <c r="B1098" s="6">
        <v>45686</v>
      </c>
      <c r="C1098" t="s">
        <v>201</v>
      </c>
      <c r="D1098" t="s">
        <v>180</v>
      </c>
      <c r="E1098">
        <v>249276</v>
      </c>
      <c r="F1098">
        <v>667.95799999999997</v>
      </c>
    </row>
    <row r="1099" spans="1:6" x14ac:dyDescent="0.25">
      <c r="A1099" t="s">
        <v>98</v>
      </c>
      <c r="B1099" s="6">
        <v>45686</v>
      </c>
      <c r="C1099" t="s">
        <v>201</v>
      </c>
      <c r="D1099" t="s">
        <v>180</v>
      </c>
      <c r="E1099">
        <v>249604</v>
      </c>
      <c r="F1099">
        <v>666.12900000000002</v>
      </c>
    </row>
    <row r="1100" spans="1:6" x14ac:dyDescent="0.25">
      <c r="A1100" t="s">
        <v>98</v>
      </c>
      <c r="B1100" s="6">
        <v>45686</v>
      </c>
      <c r="C1100" t="s">
        <v>201</v>
      </c>
      <c r="D1100" t="s">
        <v>180</v>
      </c>
      <c r="E1100">
        <v>0</v>
      </c>
      <c r="F1100">
        <v>680.03319999999997</v>
      </c>
    </row>
    <row r="1101" spans="1:6" x14ac:dyDescent="0.25">
      <c r="A1101" t="s">
        <v>98</v>
      </c>
      <c r="B1101" s="6">
        <v>45686</v>
      </c>
      <c r="C1101" t="s">
        <v>201</v>
      </c>
      <c r="D1101" t="s">
        <v>180</v>
      </c>
      <c r="E1101">
        <v>419</v>
      </c>
      <c r="F1101">
        <v>679.27829999999994</v>
      </c>
    </row>
    <row r="1102" spans="1:6" x14ac:dyDescent="0.25">
      <c r="A1102" t="s">
        <v>98</v>
      </c>
      <c r="B1102" s="6">
        <v>45686</v>
      </c>
      <c r="C1102" t="s">
        <v>201</v>
      </c>
      <c r="D1102" t="s">
        <v>180</v>
      </c>
      <c r="E1102">
        <v>1490</v>
      </c>
      <c r="F1102">
        <v>678.14380000000006</v>
      </c>
    </row>
    <row r="1103" spans="1:6" x14ac:dyDescent="0.25">
      <c r="A1103" t="s">
        <v>98</v>
      </c>
      <c r="B1103" s="6">
        <v>45686</v>
      </c>
      <c r="C1103" t="s">
        <v>201</v>
      </c>
      <c r="D1103" t="s">
        <v>180</v>
      </c>
      <c r="E1103">
        <v>2394</v>
      </c>
      <c r="F1103">
        <v>677.36969999999997</v>
      </c>
    </row>
    <row r="1104" spans="1:6" x14ac:dyDescent="0.25">
      <c r="A1104" t="s">
        <v>98</v>
      </c>
      <c r="B1104" s="6">
        <v>45686</v>
      </c>
      <c r="C1104" t="s">
        <v>201</v>
      </c>
      <c r="D1104" t="s">
        <v>180</v>
      </c>
      <c r="E1104">
        <v>5069</v>
      </c>
      <c r="F1104">
        <v>676.16780000000006</v>
      </c>
    </row>
    <row r="1105" spans="1:6" x14ac:dyDescent="0.25">
      <c r="A1105" t="s">
        <v>98</v>
      </c>
      <c r="B1105" s="6">
        <v>45686</v>
      </c>
      <c r="C1105" t="s">
        <v>201</v>
      </c>
      <c r="D1105" t="s">
        <v>180</v>
      </c>
      <c r="E1105">
        <v>6197</v>
      </c>
      <c r="F1105">
        <v>675.11590000000001</v>
      </c>
    </row>
    <row r="1106" spans="1:6" x14ac:dyDescent="0.25">
      <c r="A1106" t="s">
        <v>98</v>
      </c>
      <c r="B1106" s="6">
        <v>45686</v>
      </c>
      <c r="C1106" t="s">
        <v>201</v>
      </c>
      <c r="D1106" t="s">
        <v>180</v>
      </c>
      <c r="E1106">
        <v>7538</v>
      </c>
      <c r="F1106">
        <v>674.06769999999995</v>
      </c>
    </row>
    <row r="1107" spans="1:6" x14ac:dyDescent="0.25">
      <c r="A1107" t="s">
        <v>98</v>
      </c>
      <c r="B1107" s="6">
        <v>45686</v>
      </c>
      <c r="C1107" t="s">
        <v>201</v>
      </c>
      <c r="D1107" t="s">
        <v>180</v>
      </c>
      <c r="E1107">
        <v>10176</v>
      </c>
      <c r="F1107">
        <v>673.0367</v>
      </c>
    </row>
    <row r="1108" spans="1:6" x14ac:dyDescent="0.25">
      <c r="A1108" t="s">
        <v>98</v>
      </c>
      <c r="B1108" s="6">
        <v>45686</v>
      </c>
      <c r="C1108" t="s">
        <v>201</v>
      </c>
      <c r="D1108" t="s">
        <v>180</v>
      </c>
      <c r="E1108">
        <v>13882</v>
      </c>
      <c r="F1108">
        <v>671.97590000000002</v>
      </c>
    </row>
    <row r="1109" spans="1:6" x14ac:dyDescent="0.25">
      <c r="A1109" t="s">
        <v>98</v>
      </c>
      <c r="B1109" s="6">
        <v>45686</v>
      </c>
      <c r="C1109" t="s">
        <v>201</v>
      </c>
      <c r="D1109" t="s">
        <v>180</v>
      </c>
      <c r="E1109">
        <v>16803</v>
      </c>
      <c r="F1109">
        <v>671.04690000000005</v>
      </c>
    </row>
    <row r="1110" spans="1:6" x14ac:dyDescent="0.25">
      <c r="A1110" t="s">
        <v>98</v>
      </c>
      <c r="B1110" s="6">
        <v>45686</v>
      </c>
      <c r="C1110" t="s">
        <v>201</v>
      </c>
      <c r="D1110" t="s">
        <v>180</v>
      </c>
      <c r="E1110">
        <v>19511</v>
      </c>
      <c r="F1110">
        <v>670.15959999999995</v>
      </c>
    </row>
    <row r="1111" spans="1:6" x14ac:dyDescent="0.25">
      <c r="A1111" t="s">
        <v>98</v>
      </c>
      <c r="B1111" s="6">
        <v>45686</v>
      </c>
      <c r="C1111" t="s">
        <v>201</v>
      </c>
      <c r="D1111" t="s">
        <v>180</v>
      </c>
      <c r="E1111">
        <v>20673</v>
      </c>
      <c r="F1111">
        <v>668.93740000000003</v>
      </c>
    </row>
    <row r="1112" spans="1:6" x14ac:dyDescent="0.25">
      <c r="A1112" t="s">
        <v>98</v>
      </c>
      <c r="B1112" s="6">
        <v>45686</v>
      </c>
      <c r="C1112" t="s">
        <v>201</v>
      </c>
      <c r="D1112" t="s">
        <v>180</v>
      </c>
      <c r="E1112">
        <v>21823</v>
      </c>
      <c r="F1112">
        <v>667.70429999999999</v>
      </c>
    </row>
    <row r="1113" spans="1:6" x14ac:dyDescent="0.25">
      <c r="A1113" t="s">
        <v>98</v>
      </c>
      <c r="B1113" s="6">
        <v>45686</v>
      </c>
      <c r="C1113" t="s">
        <v>201</v>
      </c>
      <c r="D1113" t="s">
        <v>180</v>
      </c>
      <c r="E1113">
        <v>22546</v>
      </c>
      <c r="F1113">
        <v>666.23</v>
      </c>
    </row>
    <row r="1114" spans="1:6" x14ac:dyDescent="0.25">
      <c r="A1114" t="s">
        <v>98</v>
      </c>
      <c r="B1114" s="6">
        <v>45686</v>
      </c>
      <c r="C1114" t="s">
        <v>201</v>
      </c>
      <c r="D1114" t="s">
        <v>10</v>
      </c>
      <c r="E1114">
        <v>22946</v>
      </c>
      <c r="F1114">
        <v>0</v>
      </c>
    </row>
    <row r="1115" spans="1:6" x14ac:dyDescent="0.25">
      <c r="A1115" t="s">
        <v>98</v>
      </c>
      <c r="B1115" s="6">
        <v>45685</v>
      </c>
      <c r="C1115" t="s">
        <v>195</v>
      </c>
      <c r="D1115" t="s">
        <v>180</v>
      </c>
      <c r="E1115">
        <v>29295</v>
      </c>
      <c r="F1115">
        <v>666</v>
      </c>
    </row>
    <row r="1116" spans="1:6" x14ac:dyDescent="0.25">
      <c r="A1116" t="s">
        <v>98</v>
      </c>
      <c r="B1116" s="6">
        <v>45685</v>
      </c>
      <c r="C1116" t="s">
        <v>201</v>
      </c>
      <c r="D1116" t="s">
        <v>180</v>
      </c>
      <c r="E1116">
        <v>249896</v>
      </c>
      <c r="F1116">
        <v>681.41719999999998</v>
      </c>
    </row>
    <row r="1117" spans="1:6" x14ac:dyDescent="0.25">
      <c r="A1117" t="s">
        <v>98</v>
      </c>
      <c r="B1117" s="6">
        <v>45685</v>
      </c>
      <c r="C1117" t="s">
        <v>201</v>
      </c>
      <c r="D1117" t="s">
        <v>180</v>
      </c>
      <c r="E1117">
        <v>250192</v>
      </c>
      <c r="F1117">
        <v>680.7491</v>
      </c>
    </row>
    <row r="1118" spans="1:6" x14ac:dyDescent="0.25">
      <c r="A1118" t="s">
        <v>98</v>
      </c>
      <c r="B1118" s="6">
        <v>45685</v>
      </c>
      <c r="C1118" t="s">
        <v>201</v>
      </c>
      <c r="D1118" t="s">
        <v>180</v>
      </c>
      <c r="E1118">
        <v>251156</v>
      </c>
      <c r="F1118">
        <v>679.46699999999998</v>
      </c>
    </row>
    <row r="1119" spans="1:6" x14ac:dyDescent="0.25">
      <c r="A1119" t="s">
        <v>98</v>
      </c>
      <c r="B1119" s="6">
        <v>45685</v>
      </c>
      <c r="C1119" t="s">
        <v>201</v>
      </c>
      <c r="D1119" t="s">
        <v>180</v>
      </c>
      <c r="E1119">
        <v>251927</v>
      </c>
      <c r="F1119">
        <v>678.50329999999997</v>
      </c>
    </row>
    <row r="1120" spans="1:6" x14ac:dyDescent="0.25">
      <c r="A1120" t="s">
        <v>98</v>
      </c>
      <c r="B1120" s="6">
        <v>45685</v>
      </c>
      <c r="C1120" t="s">
        <v>201</v>
      </c>
      <c r="D1120" t="s">
        <v>180</v>
      </c>
      <c r="E1120">
        <v>253120</v>
      </c>
      <c r="F1120">
        <v>677.59680000000003</v>
      </c>
    </row>
    <row r="1121" spans="1:6" x14ac:dyDescent="0.25">
      <c r="A1121" t="s">
        <v>98</v>
      </c>
      <c r="B1121" s="6">
        <v>45685</v>
      </c>
      <c r="C1121" t="s">
        <v>201</v>
      </c>
      <c r="D1121" t="s">
        <v>180</v>
      </c>
      <c r="E1121">
        <v>254708</v>
      </c>
      <c r="F1121">
        <v>676.66819999999996</v>
      </c>
    </row>
    <row r="1122" spans="1:6" x14ac:dyDescent="0.25">
      <c r="A1122" t="s">
        <v>98</v>
      </c>
      <c r="B1122" s="6">
        <v>45685</v>
      </c>
      <c r="C1122" t="s">
        <v>201</v>
      </c>
      <c r="D1122" t="s">
        <v>180</v>
      </c>
      <c r="E1122">
        <v>255504</v>
      </c>
      <c r="F1122">
        <v>674.74480000000005</v>
      </c>
    </row>
    <row r="1123" spans="1:6" x14ac:dyDescent="0.25">
      <c r="A1123" t="s">
        <v>98</v>
      </c>
      <c r="B1123" s="6">
        <v>45685</v>
      </c>
      <c r="C1123" t="s">
        <v>201</v>
      </c>
      <c r="D1123" t="s">
        <v>180</v>
      </c>
      <c r="E1123">
        <v>255996</v>
      </c>
      <c r="F1123">
        <v>673.86030000000005</v>
      </c>
    </row>
    <row r="1124" spans="1:6" x14ac:dyDescent="0.25">
      <c r="A1124" t="s">
        <v>98</v>
      </c>
      <c r="B1124" s="6">
        <v>45685</v>
      </c>
      <c r="C1124" t="s">
        <v>201</v>
      </c>
      <c r="D1124" t="s">
        <v>180</v>
      </c>
      <c r="E1124">
        <v>257311</v>
      </c>
      <c r="F1124">
        <v>672.6825</v>
      </c>
    </row>
    <row r="1125" spans="1:6" x14ac:dyDescent="0.25">
      <c r="A1125" t="s">
        <v>98</v>
      </c>
      <c r="B1125" s="6">
        <v>45685</v>
      </c>
      <c r="C1125" t="s">
        <v>201</v>
      </c>
      <c r="D1125" t="s">
        <v>180</v>
      </c>
      <c r="E1125">
        <v>257877</v>
      </c>
      <c r="F1125">
        <v>671.51170000000002</v>
      </c>
    </row>
    <row r="1126" spans="1:6" x14ac:dyDescent="0.25">
      <c r="A1126" t="s">
        <v>98</v>
      </c>
      <c r="B1126" s="6">
        <v>45685</v>
      </c>
      <c r="C1126" t="s">
        <v>201</v>
      </c>
      <c r="D1126" t="s">
        <v>180</v>
      </c>
      <c r="E1126">
        <v>258561</v>
      </c>
      <c r="F1126">
        <v>670.45929999999998</v>
      </c>
    </row>
    <row r="1127" spans="1:6" x14ac:dyDescent="0.25">
      <c r="A1127" t="s">
        <v>98</v>
      </c>
      <c r="B1127" s="6">
        <v>45685</v>
      </c>
      <c r="C1127" t="s">
        <v>201</v>
      </c>
      <c r="D1127" t="s">
        <v>180</v>
      </c>
      <c r="E1127">
        <v>259350</v>
      </c>
      <c r="F1127">
        <v>669.0231</v>
      </c>
    </row>
    <row r="1128" spans="1:6" x14ac:dyDescent="0.25">
      <c r="A1128" t="s">
        <v>98</v>
      </c>
      <c r="B1128" s="6">
        <v>45685</v>
      </c>
      <c r="C1128" t="s">
        <v>201</v>
      </c>
      <c r="D1128" t="s">
        <v>180</v>
      </c>
      <c r="E1128">
        <v>259942</v>
      </c>
      <c r="F1128">
        <v>668.27739999999994</v>
      </c>
    </row>
    <row r="1129" spans="1:6" x14ac:dyDescent="0.25">
      <c r="A1129" t="s">
        <v>98</v>
      </c>
      <c r="B1129" s="6">
        <v>45685</v>
      </c>
      <c r="C1129" t="s">
        <v>201</v>
      </c>
      <c r="D1129" t="s">
        <v>180</v>
      </c>
      <c r="E1129">
        <v>260536</v>
      </c>
      <c r="F1129">
        <v>666.91390000000001</v>
      </c>
    </row>
    <row r="1130" spans="1:6" x14ac:dyDescent="0.25">
      <c r="A1130" t="s">
        <v>98</v>
      </c>
      <c r="B1130" s="6">
        <v>45685</v>
      </c>
      <c r="C1130" t="s">
        <v>201</v>
      </c>
      <c r="D1130" t="s">
        <v>180</v>
      </c>
      <c r="E1130">
        <v>261038</v>
      </c>
      <c r="F1130">
        <v>665.83190000000002</v>
      </c>
    </row>
    <row r="1131" spans="1:6" x14ac:dyDescent="0.25">
      <c r="A1131" t="s">
        <v>98</v>
      </c>
      <c r="B1131" s="6">
        <v>45685</v>
      </c>
      <c r="C1131" t="s">
        <v>201</v>
      </c>
      <c r="D1131" t="s">
        <v>180</v>
      </c>
      <c r="E1131">
        <v>261870</v>
      </c>
      <c r="F1131">
        <v>664.7953</v>
      </c>
    </row>
    <row r="1132" spans="1:6" x14ac:dyDescent="0.25">
      <c r="A1132" t="s">
        <v>98</v>
      </c>
      <c r="B1132" s="6">
        <v>45685</v>
      </c>
      <c r="C1132" t="s">
        <v>201</v>
      </c>
      <c r="D1132" t="s">
        <v>180</v>
      </c>
      <c r="E1132">
        <v>262383</v>
      </c>
      <c r="F1132">
        <v>663.33199999999999</v>
      </c>
    </row>
    <row r="1133" spans="1:6" x14ac:dyDescent="0.25">
      <c r="A1133" t="s">
        <v>98</v>
      </c>
      <c r="B1133" s="6">
        <v>45685</v>
      </c>
      <c r="C1133" t="s">
        <v>201</v>
      </c>
      <c r="D1133" t="s">
        <v>180</v>
      </c>
      <c r="E1133">
        <v>262679</v>
      </c>
      <c r="F1133">
        <v>662.02</v>
      </c>
    </row>
    <row r="1134" spans="1:6" x14ac:dyDescent="0.25">
      <c r="A1134" t="s">
        <v>98</v>
      </c>
      <c r="B1134" s="6">
        <v>45685</v>
      </c>
      <c r="C1134" t="s">
        <v>201</v>
      </c>
      <c r="D1134" t="s">
        <v>10</v>
      </c>
      <c r="E1134">
        <v>193318578</v>
      </c>
      <c r="F1134">
        <v>0</v>
      </c>
    </row>
    <row r="1135" spans="1:6" x14ac:dyDescent="0.25">
      <c r="A1135" t="s">
        <v>98</v>
      </c>
      <c r="B1135" s="6">
        <v>45685</v>
      </c>
      <c r="C1135" t="s">
        <v>201</v>
      </c>
      <c r="D1135" t="s">
        <v>180</v>
      </c>
      <c r="E1135">
        <v>0</v>
      </c>
      <c r="F1135">
        <v>681.63509999999997</v>
      </c>
    </row>
    <row r="1136" spans="1:6" x14ac:dyDescent="0.25">
      <c r="A1136" t="s">
        <v>98</v>
      </c>
      <c r="B1136" s="6">
        <v>45685</v>
      </c>
      <c r="C1136" t="s">
        <v>201</v>
      </c>
      <c r="D1136" t="s">
        <v>180</v>
      </c>
      <c r="E1136">
        <v>390</v>
      </c>
      <c r="F1136">
        <v>680.80470000000003</v>
      </c>
    </row>
    <row r="1137" spans="1:6" x14ac:dyDescent="0.25">
      <c r="A1137" t="s">
        <v>98</v>
      </c>
      <c r="B1137" s="6">
        <v>45685</v>
      </c>
      <c r="C1137" t="s">
        <v>201</v>
      </c>
      <c r="D1137" t="s">
        <v>180</v>
      </c>
      <c r="E1137">
        <v>2015</v>
      </c>
      <c r="F1137">
        <v>679.70579999999995</v>
      </c>
    </row>
    <row r="1138" spans="1:6" x14ac:dyDescent="0.25">
      <c r="A1138" t="s">
        <v>98</v>
      </c>
      <c r="B1138" s="6">
        <v>45685</v>
      </c>
      <c r="C1138" t="s">
        <v>201</v>
      </c>
      <c r="D1138" t="s">
        <v>180</v>
      </c>
      <c r="E1138">
        <v>3202</v>
      </c>
      <c r="F1138">
        <v>678.73839999999996</v>
      </c>
    </row>
    <row r="1139" spans="1:6" x14ac:dyDescent="0.25">
      <c r="A1139" t="s">
        <v>98</v>
      </c>
      <c r="B1139" s="6">
        <v>45685</v>
      </c>
      <c r="C1139" t="s">
        <v>201</v>
      </c>
      <c r="D1139" t="s">
        <v>180</v>
      </c>
      <c r="E1139">
        <v>5544</v>
      </c>
      <c r="F1139">
        <v>677.70389999999998</v>
      </c>
    </row>
    <row r="1140" spans="1:6" x14ac:dyDescent="0.25">
      <c r="A1140" t="s">
        <v>98</v>
      </c>
      <c r="B1140" s="6">
        <v>45685</v>
      </c>
      <c r="C1140" t="s">
        <v>201</v>
      </c>
      <c r="D1140" t="s">
        <v>180</v>
      </c>
      <c r="E1140">
        <v>8780</v>
      </c>
      <c r="F1140">
        <v>676.57749999999999</v>
      </c>
    </row>
    <row r="1141" spans="1:6" x14ac:dyDescent="0.25">
      <c r="A1141" t="s">
        <v>98</v>
      </c>
      <c r="B1141" s="6">
        <v>45685</v>
      </c>
      <c r="C1141" t="s">
        <v>201</v>
      </c>
      <c r="D1141" t="s">
        <v>180</v>
      </c>
      <c r="E1141">
        <v>9811</v>
      </c>
      <c r="F1141">
        <v>675.31500000000005</v>
      </c>
    </row>
    <row r="1142" spans="1:6" x14ac:dyDescent="0.25">
      <c r="A1142" t="s">
        <v>98</v>
      </c>
      <c r="B1142" s="6">
        <v>45685</v>
      </c>
      <c r="C1142" t="s">
        <v>201</v>
      </c>
      <c r="D1142" t="s">
        <v>180</v>
      </c>
      <c r="E1142">
        <v>10211</v>
      </c>
      <c r="F1142">
        <v>674.25360000000001</v>
      </c>
    </row>
    <row r="1143" spans="1:6" x14ac:dyDescent="0.25">
      <c r="A1143" t="s">
        <v>98</v>
      </c>
      <c r="B1143" s="6">
        <v>45685</v>
      </c>
      <c r="C1143" t="s">
        <v>201</v>
      </c>
      <c r="D1143" t="s">
        <v>180</v>
      </c>
      <c r="E1143">
        <v>11894</v>
      </c>
      <c r="F1143">
        <v>673.23620000000005</v>
      </c>
    </row>
    <row r="1144" spans="1:6" x14ac:dyDescent="0.25">
      <c r="A1144" t="s">
        <v>98</v>
      </c>
      <c r="B1144" s="6">
        <v>45685</v>
      </c>
      <c r="C1144" t="s">
        <v>201</v>
      </c>
      <c r="D1144" t="s">
        <v>180</v>
      </c>
      <c r="E1144">
        <v>13274</v>
      </c>
      <c r="F1144">
        <v>672.55629999999996</v>
      </c>
    </row>
    <row r="1145" spans="1:6" x14ac:dyDescent="0.25">
      <c r="A1145" t="s">
        <v>98</v>
      </c>
      <c r="B1145" s="6">
        <v>45685</v>
      </c>
      <c r="C1145" t="s">
        <v>201</v>
      </c>
      <c r="D1145" t="s">
        <v>180</v>
      </c>
      <c r="E1145">
        <v>14444</v>
      </c>
      <c r="F1145">
        <v>671.077</v>
      </c>
    </row>
    <row r="1146" spans="1:6" x14ac:dyDescent="0.25">
      <c r="A1146" t="s">
        <v>98</v>
      </c>
      <c r="B1146" s="6">
        <v>45685</v>
      </c>
      <c r="C1146" t="s">
        <v>201</v>
      </c>
      <c r="D1146" t="s">
        <v>180</v>
      </c>
      <c r="E1146">
        <v>15802</v>
      </c>
      <c r="F1146">
        <v>669.8931</v>
      </c>
    </row>
    <row r="1147" spans="1:6" x14ac:dyDescent="0.25">
      <c r="A1147" t="s">
        <v>98</v>
      </c>
      <c r="B1147" s="6">
        <v>45685</v>
      </c>
      <c r="C1147" t="s">
        <v>201</v>
      </c>
      <c r="D1147" t="s">
        <v>180</v>
      </c>
      <c r="E1147">
        <v>16680</v>
      </c>
      <c r="F1147">
        <v>668.86980000000005</v>
      </c>
    </row>
    <row r="1148" spans="1:6" x14ac:dyDescent="0.25">
      <c r="A1148" t="s">
        <v>98</v>
      </c>
      <c r="B1148" s="6">
        <v>45685</v>
      </c>
      <c r="C1148" t="s">
        <v>201</v>
      </c>
      <c r="D1148" t="s">
        <v>180</v>
      </c>
      <c r="E1148">
        <v>18053</v>
      </c>
      <c r="F1148">
        <v>667.77449999999999</v>
      </c>
    </row>
    <row r="1149" spans="1:6" x14ac:dyDescent="0.25">
      <c r="A1149" t="s">
        <v>98</v>
      </c>
      <c r="B1149" s="6">
        <v>45685</v>
      </c>
      <c r="C1149" t="s">
        <v>201</v>
      </c>
      <c r="D1149" t="s">
        <v>180</v>
      </c>
      <c r="E1149">
        <v>19056</v>
      </c>
      <c r="F1149">
        <v>666.55840000000001</v>
      </c>
    </row>
    <row r="1150" spans="1:6" x14ac:dyDescent="0.25">
      <c r="A1150" t="s">
        <v>98</v>
      </c>
      <c r="B1150" s="6">
        <v>45685</v>
      </c>
      <c r="C1150" t="s">
        <v>201</v>
      </c>
      <c r="D1150" t="s">
        <v>180</v>
      </c>
      <c r="E1150">
        <v>19954</v>
      </c>
      <c r="F1150">
        <v>665.6105</v>
      </c>
    </row>
    <row r="1151" spans="1:6" x14ac:dyDescent="0.25">
      <c r="A1151" t="s">
        <v>98</v>
      </c>
      <c r="B1151" s="6">
        <v>45685</v>
      </c>
      <c r="C1151" t="s">
        <v>201</v>
      </c>
      <c r="D1151" t="s">
        <v>180</v>
      </c>
      <c r="E1151">
        <v>21307</v>
      </c>
      <c r="F1151">
        <v>664.70759999999996</v>
      </c>
    </row>
    <row r="1152" spans="1:6" x14ac:dyDescent="0.25">
      <c r="A1152" t="s">
        <v>98</v>
      </c>
      <c r="B1152" s="6">
        <v>45685</v>
      </c>
      <c r="C1152" t="s">
        <v>201</v>
      </c>
      <c r="D1152" t="s">
        <v>180</v>
      </c>
      <c r="E1152">
        <v>22143</v>
      </c>
      <c r="F1152">
        <v>663.21090000000004</v>
      </c>
    </row>
    <row r="1153" spans="1:6" x14ac:dyDescent="0.25">
      <c r="A1153" t="s">
        <v>98</v>
      </c>
      <c r="B1153" s="6">
        <v>45685</v>
      </c>
      <c r="C1153" t="s">
        <v>201</v>
      </c>
      <c r="D1153" t="s">
        <v>180</v>
      </c>
      <c r="E1153">
        <v>22746</v>
      </c>
      <c r="F1153">
        <v>661.46</v>
      </c>
    </row>
    <row r="1154" spans="1:6" x14ac:dyDescent="0.25">
      <c r="A1154" t="s">
        <v>98</v>
      </c>
      <c r="B1154" s="6">
        <v>45685</v>
      </c>
      <c r="C1154" t="s">
        <v>201</v>
      </c>
      <c r="D1154" t="s">
        <v>10</v>
      </c>
      <c r="E1154">
        <v>22946</v>
      </c>
      <c r="F1154">
        <v>0</v>
      </c>
    </row>
    <row r="1155" spans="1:6" x14ac:dyDescent="0.25">
      <c r="A1155" t="s">
        <v>98</v>
      </c>
      <c r="B1155" s="6">
        <v>45684</v>
      </c>
      <c r="C1155" t="s">
        <v>201</v>
      </c>
      <c r="D1155" t="s">
        <v>10</v>
      </c>
      <c r="E1155">
        <v>193341524</v>
      </c>
      <c r="F1155">
        <v>0</v>
      </c>
    </row>
    <row r="1156" spans="1:6" x14ac:dyDescent="0.25">
      <c r="A1156" t="s">
        <v>98</v>
      </c>
      <c r="B1156" s="6">
        <v>45684</v>
      </c>
      <c r="C1156" t="s">
        <v>201</v>
      </c>
      <c r="D1156" t="s">
        <v>180</v>
      </c>
      <c r="E1156">
        <v>580</v>
      </c>
      <c r="F1156">
        <v>660.55</v>
      </c>
    </row>
    <row r="1157" spans="1:6" x14ac:dyDescent="0.25">
      <c r="A1157" t="s">
        <v>98</v>
      </c>
      <c r="B1157" s="6">
        <v>45684</v>
      </c>
      <c r="C1157" t="s">
        <v>201</v>
      </c>
      <c r="D1157" t="s">
        <v>180</v>
      </c>
      <c r="E1157">
        <v>1005</v>
      </c>
      <c r="F1157">
        <v>659.49749999999995</v>
      </c>
    </row>
    <row r="1158" spans="1:6" x14ac:dyDescent="0.25">
      <c r="A1158" t="s">
        <v>98</v>
      </c>
      <c r="B1158" s="6">
        <v>45684</v>
      </c>
      <c r="C1158" t="s">
        <v>201</v>
      </c>
      <c r="D1158" t="s">
        <v>180</v>
      </c>
      <c r="E1158">
        <v>2777</v>
      </c>
      <c r="F1158">
        <v>658.38279999999997</v>
      </c>
    </row>
    <row r="1159" spans="1:6" x14ac:dyDescent="0.25">
      <c r="A1159" t="s">
        <v>98</v>
      </c>
      <c r="B1159" s="6">
        <v>45684</v>
      </c>
      <c r="C1159" t="s">
        <v>201</v>
      </c>
      <c r="D1159" t="s">
        <v>180</v>
      </c>
      <c r="E1159">
        <v>3667</v>
      </c>
      <c r="F1159">
        <v>657.46659999999997</v>
      </c>
    </row>
    <row r="1160" spans="1:6" x14ac:dyDescent="0.25">
      <c r="A1160" t="s">
        <v>98</v>
      </c>
      <c r="B1160" s="6">
        <v>45684</v>
      </c>
      <c r="C1160" t="s">
        <v>201</v>
      </c>
      <c r="D1160" t="s">
        <v>180</v>
      </c>
      <c r="E1160">
        <v>4527</v>
      </c>
      <c r="F1160">
        <v>656.01350000000002</v>
      </c>
    </row>
    <row r="1161" spans="1:6" x14ac:dyDescent="0.25">
      <c r="A1161" t="s">
        <v>98</v>
      </c>
      <c r="B1161" s="6">
        <v>45684</v>
      </c>
      <c r="C1161" t="s">
        <v>201</v>
      </c>
      <c r="D1161" t="s">
        <v>180</v>
      </c>
      <c r="E1161">
        <v>5227</v>
      </c>
      <c r="F1161">
        <v>655.17740000000003</v>
      </c>
    </row>
    <row r="1162" spans="1:6" x14ac:dyDescent="0.25">
      <c r="A1162" t="s">
        <v>98</v>
      </c>
      <c r="B1162" s="6">
        <v>45684</v>
      </c>
      <c r="C1162" t="s">
        <v>201</v>
      </c>
      <c r="D1162" t="s">
        <v>180</v>
      </c>
      <c r="E1162">
        <v>6075</v>
      </c>
      <c r="F1162">
        <v>654.21929999999998</v>
      </c>
    </row>
    <row r="1163" spans="1:6" x14ac:dyDescent="0.25">
      <c r="A1163" t="s">
        <v>98</v>
      </c>
      <c r="B1163" s="6">
        <v>45684</v>
      </c>
      <c r="C1163" t="s">
        <v>201</v>
      </c>
      <c r="D1163" t="s">
        <v>180</v>
      </c>
      <c r="E1163">
        <v>7372</v>
      </c>
      <c r="F1163">
        <v>653.14869999999996</v>
      </c>
    </row>
    <row r="1164" spans="1:6" x14ac:dyDescent="0.25">
      <c r="A1164" t="s">
        <v>98</v>
      </c>
      <c r="B1164" s="6">
        <v>45684</v>
      </c>
      <c r="C1164" t="s">
        <v>201</v>
      </c>
      <c r="D1164" t="s">
        <v>180</v>
      </c>
      <c r="E1164">
        <v>9207</v>
      </c>
      <c r="F1164">
        <v>651.9923</v>
      </c>
    </row>
    <row r="1165" spans="1:6" x14ac:dyDescent="0.25">
      <c r="A1165" t="s">
        <v>98</v>
      </c>
      <c r="B1165" s="6">
        <v>45684</v>
      </c>
      <c r="C1165" t="s">
        <v>201</v>
      </c>
      <c r="D1165" t="s">
        <v>180</v>
      </c>
      <c r="E1165">
        <v>10722</v>
      </c>
      <c r="F1165">
        <v>650.86689999999999</v>
      </c>
    </row>
    <row r="1166" spans="1:6" x14ac:dyDescent="0.25">
      <c r="A1166" t="s">
        <v>98</v>
      </c>
      <c r="B1166" s="6">
        <v>45684</v>
      </c>
      <c r="C1166" t="s">
        <v>201</v>
      </c>
      <c r="D1166" t="s">
        <v>180</v>
      </c>
      <c r="E1166">
        <v>12740</v>
      </c>
      <c r="F1166">
        <v>649.95929999999998</v>
      </c>
    </row>
    <row r="1167" spans="1:6" x14ac:dyDescent="0.25">
      <c r="A1167" t="s">
        <v>98</v>
      </c>
      <c r="B1167" s="6">
        <v>45684</v>
      </c>
      <c r="C1167" t="s">
        <v>201</v>
      </c>
      <c r="D1167" t="s">
        <v>180</v>
      </c>
      <c r="E1167">
        <v>14471</v>
      </c>
      <c r="F1167">
        <v>648.90129999999999</v>
      </c>
    </row>
    <row r="1168" spans="1:6" x14ac:dyDescent="0.25">
      <c r="A1168" t="s">
        <v>98</v>
      </c>
      <c r="B1168" s="6">
        <v>45684</v>
      </c>
      <c r="C1168" t="s">
        <v>201</v>
      </c>
      <c r="D1168" t="s">
        <v>180</v>
      </c>
      <c r="E1168">
        <v>15279</v>
      </c>
      <c r="F1168">
        <v>647.87199999999996</v>
      </c>
    </row>
    <row r="1169" spans="1:6" x14ac:dyDescent="0.25">
      <c r="A1169" t="s">
        <v>98</v>
      </c>
      <c r="B1169" s="6">
        <v>45684</v>
      </c>
      <c r="C1169" t="s">
        <v>201</v>
      </c>
      <c r="D1169" t="s">
        <v>180</v>
      </c>
      <c r="E1169">
        <v>15963</v>
      </c>
      <c r="F1169">
        <v>646.82000000000005</v>
      </c>
    </row>
    <row r="1170" spans="1:6" x14ac:dyDescent="0.25">
      <c r="A1170" t="s">
        <v>98</v>
      </c>
      <c r="B1170" s="6">
        <v>45684</v>
      </c>
      <c r="C1170" t="s">
        <v>201</v>
      </c>
      <c r="D1170" t="s">
        <v>180</v>
      </c>
      <c r="E1170">
        <v>16463</v>
      </c>
      <c r="F1170">
        <v>645.51030000000003</v>
      </c>
    </row>
    <row r="1171" spans="1:6" x14ac:dyDescent="0.25">
      <c r="A1171" t="s">
        <v>98</v>
      </c>
      <c r="B1171" s="6">
        <v>45684</v>
      </c>
      <c r="C1171" t="s">
        <v>201</v>
      </c>
      <c r="D1171" t="s">
        <v>180</v>
      </c>
      <c r="E1171">
        <v>16976</v>
      </c>
      <c r="F1171">
        <v>644.17380000000003</v>
      </c>
    </row>
    <row r="1172" spans="1:6" x14ac:dyDescent="0.25">
      <c r="A1172" t="s">
        <v>98</v>
      </c>
      <c r="B1172" s="6">
        <v>45684</v>
      </c>
      <c r="C1172" t="s">
        <v>201</v>
      </c>
      <c r="D1172" t="s">
        <v>180</v>
      </c>
      <c r="E1172">
        <v>17266</v>
      </c>
      <c r="F1172">
        <v>642.77350000000001</v>
      </c>
    </row>
    <row r="1173" spans="1:6" x14ac:dyDescent="0.25">
      <c r="A1173" t="s">
        <v>98</v>
      </c>
      <c r="B1173" s="6">
        <v>45684</v>
      </c>
      <c r="C1173" t="s">
        <v>201</v>
      </c>
      <c r="D1173" t="s">
        <v>180</v>
      </c>
      <c r="E1173">
        <v>17756</v>
      </c>
      <c r="F1173">
        <v>641.79920000000004</v>
      </c>
    </row>
    <row r="1174" spans="1:6" x14ac:dyDescent="0.25">
      <c r="A1174" t="s">
        <v>98</v>
      </c>
      <c r="B1174" s="6">
        <v>45684</v>
      </c>
      <c r="C1174" t="s">
        <v>201</v>
      </c>
      <c r="D1174" t="s">
        <v>180</v>
      </c>
      <c r="E1174">
        <v>18026</v>
      </c>
      <c r="F1174">
        <v>640.29200000000003</v>
      </c>
    </row>
    <row r="1175" spans="1:6" x14ac:dyDescent="0.25">
      <c r="A1175" t="s">
        <v>98</v>
      </c>
      <c r="B1175" s="6">
        <v>45684</v>
      </c>
      <c r="C1175" t="s">
        <v>201</v>
      </c>
      <c r="D1175" t="s">
        <v>180</v>
      </c>
      <c r="E1175">
        <v>18352</v>
      </c>
      <c r="F1175">
        <v>638.62149999999997</v>
      </c>
    </row>
    <row r="1176" spans="1:6" x14ac:dyDescent="0.25">
      <c r="A1176" t="s">
        <v>98</v>
      </c>
      <c r="B1176" s="6">
        <v>45684</v>
      </c>
      <c r="C1176" t="s">
        <v>201</v>
      </c>
      <c r="D1176" t="s">
        <v>180</v>
      </c>
      <c r="E1176">
        <v>19132</v>
      </c>
      <c r="F1176">
        <v>637.51419999999996</v>
      </c>
    </row>
    <row r="1177" spans="1:6" x14ac:dyDescent="0.25">
      <c r="A1177" t="s">
        <v>98</v>
      </c>
      <c r="B1177" s="6">
        <v>45684</v>
      </c>
      <c r="C1177" t="s">
        <v>201</v>
      </c>
      <c r="D1177" t="s">
        <v>180</v>
      </c>
      <c r="E1177">
        <v>19787</v>
      </c>
      <c r="F1177">
        <v>635.78499999999997</v>
      </c>
    </row>
    <row r="1178" spans="1:6" x14ac:dyDescent="0.25">
      <c r="A1178" t="s">
        <v>98</v>
      </c>
      <c r="B1178" s="6">
        <v>45684</v>
      </c>
      <c r="C1178" t="s">
        <v>201</v>
      </c>
      <c r="D1178" t="s">
        <v>180</v>
      </c>
      <c r="E1178">
        <v>19987</v>
      </c>
      <c r="F1178">
        <v>634.78330000000005</v>
      </c>
    </row>
    <row r="1179" spans="1:6" x14ac:dyDescent="0.25">
      <c r="A1179" t="s">
        <v>98</v>
      </c>
      <c r="B1179" s="6">
        <v>45684</v>
      </c>
      <c r="C1179" t="s">
        <v>201</v>
      </c>
      <c r="D1179" t="s">
        <v>180</v>
      </c>
      <c r="E1179">
        <v>20573</v>
      </c>
      <c r="F1179">
        <v>633.94690000000003</v>
      </c>
    </row>
    <row r="1180" spans="1:6" x14ac:dyDescent="0.25">
      <c r="A1180" t="s">
        <v>98</v>
      </c>
      <c r="B1180" s="6">
        <v>45684</v>
      </c>
      <c r="C1180" t="s">
        <v>201</v>
      </c>
      <c r="D1180" t="s">
        <v>180</v>
      </c>
      <c r="E1180">
        <v>21066</v>
      </c>
      <c r="F1180">
        <v>632.59</v>
      </c>
    </row>
    <row r="1181" spans="1:6" x14ac:dyDescent="0.25">
      <c r="A1181" t="s">
        <v>98</v>
      </c>
      <c r="B1181" s="6">
        <v>45684</v>
      </c>
      <c r="C1181" t="s">
        <v>201</v>
      </c>
      <c r="D1181" t="s">
        <v>180</v>
      </c>
      <c r="E1181">
        <v>21964</v>
      </c>
      <c r="F1181">
        <v>631.59180000000003</v>
      </c>
    </row>
    <row r="1182" spans="1:6" x14ac:dyDescent="0.25">
      <c r="A1182" t="s">
        <v>98</v>
      </c>
      <c r="B1182" s="6">
        <v>45684</v>
      </c>
      <c r="C1182" t="s">
        <v>201</v>
      </c>
      <c r="D1182" t="s">
        <v>180</v>
      </c>
      <c r="E1182">
        <v>22434</v>
      </c>
      <c r="F1182">
        <v>629.59500000000003</v>
      </c>
    </row>
    <row r="1183" spans="1:6" x14ac:dyDescent="0.25">
      <c r="A1183" t="s">
        <v>98</v>
      </c>
      <c r="B1183" s="6">
        <v>45684</v>
      </c>
      <c r="C1183" t="s">
        <v>201</v>
      </c>
      <c r="D1183" t="s">
        <v>180</v>
      </c>
      <c r="E1183">
        <v>22614</v>
      </c>
      <c r="F1183">
        <v>627.31610000000001</v>
      </c>
    </row>
    <row r="1184" spans="1:6" x14ac:dyDescent="0.25">
      <c r="A1184" t="s">
        <v>98</v>
      </c>
      <c r="B1184" s="6">
        <v>45684</v>
      </c>
      <c r="C1184" t="s">
        <v>201</v>
      </c>
      <c r="D1184" t="s">
        <v>180</v>
      </c>
      <c r="E1184">
        <v>22894</v>
      </c>
      <c r="F1184">
        <v>625.54</v>
      </c>
    </row>
    <row r="1185" spans="1:6" x14ac:dyDescent="0.25">
      <c r="A1185" t="s">
        <v>98</v>
      </c>
      <c r="B1185" s="6">
        <v>45684</v>
      </c>
      <c r="C1185" t="s">
        <v>201</v>
      </c>
      <c r="D1185" t="s">
        <v>10</v>
      </c>
      <c r="E1185">
        <v>22946</v>
      </c>
      <c r="F1185">
        <v>0</v>
      </c>
    </row>
    <row r="1186" spans="1:6" x14ac:dyDescent="0.25">
      <c r="A1186" t="s">
        <v>98</v>
      </c>
      <c r="B1186" s="6">
        <v>45684</v>
      </c>
      <c r="C1186" t="s">
        <v>201</v>
      </c>
      <c r="D1186" t="s">
        <v>180</v>
      </c>
      <c r="E1186">
        <v>262871</v>
      </c>
      <c r="F1186">
        <v>662.72529999999995</v>
      </c>
    </row>
    <row r="1187" spans="1:6" x14ac:dyDescent="0.25">
      <c r="A1187" t="s">
        <v>98</v>
      </c>
      <c r="B1187" s="6">
        <v>45684</v>
      </c>
      <c r="C1187" t="s">
        <v>201</v>
      </c>
      <c r="D1187" t="s">
        <v>180</v>
      </c>
      <c r="E1187">
        <v>262948</v>
      </c>
      <c r="F1187">
        <v>661.44479999999999</v>
      </c>
    </row>
    <row r="1188" spans="1:6" x14ac:dyDescent="0.25">
      <c r="A1188" t="s">
        <v>98</v>
      </c>
      <c r="B1188" s="6">
        <v>45684</v>
      </c>
      <c r="C1188" t="s">
        <v>201</v>
      </c>
      <c r="D1188" t="s">
        <v>180</v>
      </c>
      <c r="E1188">
        <v>263179</v>
      </c>
      <c r="F1188">
        <v>661.00459999999998</v>
      </c>
    </row>
    <row r="1189" spans="1:6" x14ac:dyDescent="0.25">
      <c r="A1189" t="s">
        <v>98</v>
      </c>
      <c r="B1189" s="6">
        <v>45684</v>
      </c>
      <c r="C1189" t="s">
        <v>201</v>
      </c>
      <c r="D1189" t="s">
        <v>180</v>
      </c>
      <c r="E1189">
        <v>263328</v>
      </c>
      <c r="F1189">
        <v>659.46479999999997</v>
      </c>
    </row>
    <row r="1190" spans="1:6" x14ac:dyDescent="0.25">
      <c r="A1190" t="s">
        <v>98</v>
      </c>
      <c r="B1190" s="6">
        <v>45684</v>
      </c>
      <c r="C1190" t="s">
        <v>201</v>
      </c>
      <c r="D1190" t="s">
        <v>180</v>
      </c>
      <c r="E1190">
        <v>264235</v>
      </c>
      <c r="F1190">
        <v>658.66269999999997</v>
      </c>
    </row>
    <row r="1191" spans="1:6" x14ac:dyDescent="0.25">
      <c r="A1191" t="s">
        <v>98</v>
      </c>
      <c r="B1191" s="6">
        <v>45684</v>
      </c>
      <c r="C1191" t="s">
        <v>201</v>
      </c>
      <c r="D1191" t="s">
        <v>180</v>
      </c>
      <c r="E1191">
        <v>264827</v>
      </c>
      <c r="F1191">
        <v>657.63049999999998</v>
      </c>
    </row>
    <row r="1192" spans="1:6" x14ac:dyDescent="0.25">
      <c r="A1192" t="s">
        <v>98</v>
      </c>
      <c r="B1192" s="6">
        <v>45684</v>
      </c>
      <c r="C1192" t="s">
        <v>201</v>
      </c>
      <c r="D1192" t="s">
        <v>180</v>
      </c>
      <c r="E1192">
        <v>265419</v>
      </c>
      <c r="F1192">
        <v>656.02660000000003</v>
      </c>
    </row>
    <row r="1193" spans="1:6" x14ac:dyDescent="0.25">
      <c r="A1193" t="s">
        <v>98</v>
      </c>
      <c r="B1193" s="6">
        <v>45684</v>
      </c>
      <c r="C1193" t="s">
        <v>201</v>
      </c>
      <c r="D1193" t="s">
        <v>180</v>
      </c>
      <c r="E1193">
        <v>266178</v>
      </c>
      <c r="F1193">
        <v>654.60609999999997</v>
      </c>
    </row>
    <row r="1194" spans="1:6" x14ac:dyDescent="0.25">
      <c r="A1194" t="s">
        <v>98</v>
      </c>
      <c r="B1194" s="6">
        <v>45684</v>
      </c>
      <c r="C1194" t="s">
        <v>201</v>
      </c>
      <c r="D1194" t="s">
        <v>180</v>
      </c>
      <c r="E1194">
        <v>266570</v>
      </c>
      <c r="F1194">
        <v>653.72090000000003</v>
      </c>
    </row>
    <row r="1195" spans="1:6" x14ac:dyDescent="0.25">
      <c r="A1195" t="s">
        <v>98</v>
      </c>
      <c r="B1195" s="6">
        <v>45684</v>
      </c>
      <c r="C1195" t="s">
        <v>201</v>
      </c>
      <c r="D1195" t="s">
        <v>180</v>
      </c>
      <c r="E1195">
        <v>267364</v>
      </c>
      <c r="F1195">
        <v>652.82889999999998</v>
      </c>
    </row>
    <row r="1196" spans="1:6" x14ac:dyDescent="0.25">
      <c r="A1196" t="s">
        <v>98</v>
      </c>
      <c r="B1196" s="6">
        <v>45684</v>
      </c>
      <c r="C1196" t="s">
        <v>201</v>
      </c>
      <c r="D1196" t="s">
        <v>180</v>
      </c>
      <c r="E1196">
        <v>268258</v>
      </c>
      <c r="F1196">
        <v>651.49549999999999</v>
      </c>
    </row>
    <row r="1197" spans="1:6" x14ac:dyDescent="0.25">
      <c r="A1197" t="s">
        <v>98</v>
      </c>
      <c r="B1197" s="6">
        <v>45684</v>
      </c>
      <c r="C1197" t="s">
        <v>201</v>
      </c>
      <c r="D1197" t="s">
        <v>180</v>
      </c>
      <c r="E1197">
        <v>269340</v>
      </c>
      <c r="F1197">
        <v>650.51329999999996</v>
      </c>
    </row>
    <row r="1198" spans="1:6" x14ac:dyDescent="0.25">
      <c r="A1198" t="s">
        <v>98</v>
      </c>
      <c r="B1198" s="6">
        <v>45684</v>
      </c>
      <c r="C1198" t="s">
        <v>201</v>
      </c>
      <c r="D1198" t="s">
        <v>180</v>
      </c>
      <c r="E1198">
        <v>270557</v>
      </c>
      <c r="F1198">
        <v>649.4479</v>
      </c>
    </row>
    <row r="1199" spans="1:6" x14ac:dyDescent="0.25">
      <c r="A1199" t="s">
        <v>98</v>
      </c>
      <c r="B1199" s="6">
        <v>45684</v>
      </c>
      <c r="C1199" t="s">
        <v>201</v>
      </c>
      <c r="D1199" t="s">
        <v>180</v>
      </c>
      <c r="E1199">
        <v>271530</v>
      </c>
      <c r="F1199">
        <v>647.39440000000002</v>
      </c>
    </row>
    <row r="1200" spans="1:6" x14ac:dyDescent="0.25">
      <c r="A1200" t="s">
        <v>98</v>
      </c>
      <c r="B1200" s="6">
        <v>45684</v>
      </c>
      <c r="C1200" t="s">
        <v>201</v>
      </c>
      <c r="D1200" t="s">
        <v>180</v>
      </c>
      <c r="E1200">
        <v>272022</v>
      </c>
      <c r="F1200">
        <v>646.16920000000005</v>
      </c>
    </row>
    <row r="1201" spans="1:6" x14ac:dyDescent="0.25">
      <c r="A1201" t="s">
        <v>98</v>
      </c>
      <c r="B1201" s="6">
        <v>45684</v>
      </c>
      <c r="C1201" t="s">
        <v>201</v>
      </c>
      <c r="D1201" t="s">
        <v>180</v>
      </c>
      <c r="E1201">
        <v>272218</v>
      </c>
      <c r="F1201">
        <v>644.96569999999997</v>
      </c>
    </row>
    <row r="1202" spans="1:6" x14ac:dyDescent="0.25">
      <c r="A1202" t="s">
        <v>98</v>
      </c>
      <c r="B1202" s="6">
        <v>45684</v>
      </c>
      <c r="C1202" t="s">
        <v>201</v>
      </c>
      <c r="D1202" t="s">
        <v>180</v>
      </c>
      <c r="E1202">
        <v>272473</v>
      </c>
      <c r="F1202">
        <v>642.69510000000002</v>
      </c>
    </row>
    <row r="1203" spans="1:6" x14ac:dyDescent="0.25">
      <c r="A1203" t="s">
        <v>98</v>
      </c>
      <c r="B1203" s="6">
        <v>45684</v>
      </c>
      <c r="C1203" t="s">
        <v>201</v>
      </c>
      <c r="D1203" t="s">
        <v>180</v>
      </c>
      <c r="E1203">
        <v>273025</v>
      </c>
      <c r="F1203">
        <v>640.45000000000005</v>
      </c>
    </row>
    <row r="1204" spans="1:6" x14ac:dyDescent="0.25">
      <c r="A1204" t="s">
        <v>98</v>
      </c>
      <c r="B1204" s="6">
        <v>45684</v>
      </c>
      <c r="C1204" t="s">
        <v>201</v>
      </c>
      <c r="D1204" t="s">
        <v>180</v>
      </c>
      <c r="E1204">
        <v>273121</v>
      </c>
      <c r="F1204">
        <v>639.31880000000001</v>
      </c>
    </row>
    <row r="1205" spans="1:6" x14ac:dyDescent="0.25">
      <c r="A1205" t="s">
        <v>98</v>
      </c>
      <c r="B1205" s="6">
        <v>45684</v>
      </c>
      <c r="C1205" t="s">
        <v>201</v>
      </c>
      <c r="D1205" t="s">
        <v>180</v>
      </c>
      <c r="E1205">
        <v>273413</v>
      </c>
      <c r="F1205">
        <v>638.28290000000004</v>
      </c>
    </row>
    <row r="1206" spans="1:6" x14ac:dyDescent="0.25">
      <c r="A1206" t="s">
        <v>98</v>
      </c>
      <c r="B1206" s="6">
        <v>45684</v>
      </c>
      <c r="C1206" t="s">
        <v>201</v>
      </c>
      <c r="D1206" t="s">
        <v>180</v>
      </c>
      <c r="E1206">
        <v>273973</v>
      </c>
      <c r="F1206">
        <v>636.54</v>
      </c>
    </row>
    <row r="1207" spans="1:6" x14ac:dyDescent="0.25">
      <c r="A1207" t="s">
        <v>98</v>
      </c>
      <c r="B1207" s="6">
        <v>45684</v>
      </c>
      <c r="C1207" t="s">
        <v>201</v>
      </c>
      <c r="D1207" t="s">
        <v>180</v>
      </c>
      <c r="E1207">
        <v>274073</v>
      </c>
      <c r="F1207">
        <v>635.53</v>
      </c>
    </row>
    <row r="1208" spans="1:6" x14ac:dyDescent="0.25">
      <c r="A1208" t="s">
        <v>98</v>
      </c>
      <c r="B1208" s="6">
        <v>45684</v>
      </c>
      <c r="C1208" t="s">
        <v>201</v>
      </c>
      <c r="D1208" t="s">
        <v>180</v>
      </c>
      <c r="E1208">
        <v>274173</v>
      </c>
      <c r="F1208">
        <v>634.41250000000002</v>
      </c>
    </row>
    <row r="1209" spans="1:6" x14ac:dyDescent="0.25">
      <c r="A1209" t="s">
        <v>98</v>
      </c>
      <c r="B1209" s="6">
        <v>45684</v>
      </c>
      <c r="C1209" t="s">
        <v>201</v>
      </c>
      <c r="D1209" t="s">
        <v>180</v>
      </c>
      <c r="E1209">
        <v>274669</v>
      </c>
      <c r="F1209">
        <v>632.74850000000004</v>
      </c>
    </row>
    <row r="1210" spans="1:6" x14ac:dyDescent="0.25">
      <c r="A1210" t="s">
        <v>98</v>
      </c>
      <c r="B1210" s="6">
        <v>45684</v>
      </c>
      <c r="C1210" t="s">
        <v>201</v>
      </c>
      <c r="D1210" t="s">
        <v>180</v>
      </c>
      <c r="E1210">
        <v>275258</v>
      </c>
      <c r="F1210">
        <v>631.35519999999997</v>
      </c>
    </row>
    <row r="1211" spans="1:6" x14ac:dyDescent="0.25">
      <c r="A1211" t="s">
        <v>98</v>
      </c>
      <c r="B1211" s="6">
        <v>45684</v>
      </c>
      <c r="C1211" t="s">
        <v>201</v>
      </c>
      <c r="D1211" t="s">
        <v>180</v>
      </c>
      <c r="E1211">
        <v>275466</v>
      </c>
      <c r="F1211">
        <v>629.29499999999996</v>
      </c>
    </row>
    <row r="1212" spans="1:6" x14ac:dyDescent="0.25">
      <c r="A1212" t="s">
        <v>98</v>
      </c>
      <c r="B1212" s="6">
        <v>45684</v>
      </c>
      <c r="C1212" t="s">
        <v>201</v>
      </c>
      <c r="D1212" t="s">
        <v>180</v>
      </c>
      <c r="E1212">
        <v>275666</v>
      </c>
      <c r="F1212">
        <v>626.55560000000003</v>
      </c>
    </row>
    <row r="1213" spans="1:6" x14ac:dyDescent="0.25">
      <c r="A1213" t="s">
        <v>98</v>
      </c>
      <c r="B1213" s="6">
        <v>45684</v>
      </c>
      <c r="C1213" t="s">
        <v>201</v>
      </c>
      <c r="D1213" t="s">
        <v>180</v>
      </c>
      <c r="E1213">
        <v>0</v>
      </c>
      <c r="F1213">
        <v>663.13289999999995</v>
      </c>
    </row>
    <row r="1214" spans="1:6" x14ac:dyDescent="0.25">
      <c r="A1214" t="s">
        <v>98</v>
      </c>
      <c r="B1214" s="6">
        <v>45684</v>
      </c>
      <c r="C1214" t="s">
        <v>201</v>
      </c>
      <c r="D1214" t="s">
        <v>180</v>
      </c>
      <c r="E1214">
        <v>280</v>
      </c>
      <c r="F1214">
        <v>661.48170000000005</v>
      </c>
    </row>
    <row r="1215" spans="1:6" x14ac:dyDescent="0.25">
      <c r="A1215" t="s">
        <v>98</v>
      </c>
      <c r="B1215" s="6">
        <v>45684</v>
      </c>
      <c r="C1215" t="s">
        <v>206</v>
      </c>
      <c r="D1215" t="s">
        <v>180</v>
      </c>
      <c r="E1215">
        <v>4522</v>
      </c>
      <c r="F1215">
        <v>627.59</v>
      </c>
    </row>
    <row r="1216" spans="1:6" x14ac:dyDescent="0.25">
      <c r="A1216" t="s">
        <v>98</v>
      </c>
      <c r="B1216" s="6">
        <v>45684</v>
      </c>
      <c r="C1216" t="s">
        <v>196</v>
      </c>
      <c r="D1216" t="s">
        <v>180</v>
      </c>
      <c r="E1216">
        <v>15862</v>
      </c>
      <c r="F1216">
        <v>627.59</v>
      </c>
    </row>
    <row r="1217" spans="1:6" x14ac:dyDescent="0.25">
      <c r="A1217" t="s">
        <v>98</v>
      </c>
      <c r="B1217" s="6">
        <v>45681</v>
      </c>
      <c r="C1217" t="s">
        <v>201</v>
      </c>
      <c r="D1217" t="s">
        <v>10</v>
      </c>
      <c r="E1217">
        <v>193364470</v>
      </c>
      <c r="F1217">
        <v>0</v>
      </c>
    </row>
    <row r="1218" spans="1:6" x14ac:dyDescent="0.25">
      <c r="A1218" t="s">
        <v>98</v>
      </c>
      <c r="B1218" s="6">
        <v>45681</v>
      </c>
      <c r="C1218" t="s">
        <v>201</v>
      </c>
      <c r="D1218" t="s">
        <v>180</v>
      </c>
      <c r="E1218">
        <v>275846</v>
      </c>
      <c r="F1218">
        <v>650.72310000000004</v>
      </c>
    </row>
    <row r="1219" spans="1:6" x14ac:dyDescent="0.25">
      <c r="A1219" t="s">
        <v>98</v>
      </c>
      <c r="B1219" s="6">
        <v>45681</v>
      </c>
      <c r="C1219" t="s">
        <v>201</v>
      </c>
      <c r="D1219" t="s">
        <v>180</v>
      </c>
      <c r="E1219">
        <v>276359</v>
      </c>
      <c r="F1219">
        <v>649.28070000000002</v>
      </c>
    </row>
    <row r="1220" spans="1:6" x14ac:dyDescent="0.25">
      <c r="A1220" t="s">
        <v>98</v>
      </c>
      <c r="B1220" s="6">
        <v>45681</v>
      </c>
      <c r="C1220" t="s">
        <v>201</v>
      </c>
      <c r="D1220" t="s">
        <v>180</v>
      </c>
      <c r="E1220">
        <v>277063</v>
      </c>
      <c r="F1220">
        <v>648.08450000000005</v>
      </c>
    </row>
    <row r="1221" spans="1:6" x14ac:dyDescent="0.25">
      <c r="A1221" t="s">
        <v>98</v>
      </c>
      <c r="B1221" s="6">
        <v>45681</v>
      </c>
      <c r="C1221" t="s">
        <v>201</v>
      </c>
      <c r="D1221" t="s">
        <v>180</v>
      </c>
      <c r="E1221">
        <v>277201</v>
      </c>
      <c r="F1221">
        <v>647.43330000000003</v>
      </c>
    </row>
    <row r="1222" spans="1:6" x14ac:dyDescent="0.25">
      <c r="A1222" t="s">
        <v>98</v>
      </c>
      <c r="B1222" s="6">
        <v>45681</v>
      </c>
      <c r="C1222" t="s">
        <v>201</v>
      </c>
      <c r="D1222" t="s">
        <v>180</v>
      </c>
      <c r="E1222">
        <v>278336</v>
      </c>
      <c r="F1222">
        <v>646.31740000000002</v>
      </c>
    </row>
    <row r="1223" spans="1:6" x14ac:dyDescent="0.25">
      <c r="A1223" t="s">
        <v>98</v>
      </c>
      <c r="B1223" s="6">
        <v>45681</v>
      </c>
      <c r="C1223" t="s">
        <v>201</v>
      </c>
      <c r="D1223" t="s">
        <v>180</v>
      </c>
      <c r="E1223">
        <v>280441</v>
      </c>
      <c r="F1223">
        <v>645.33709999999996</v>
      </c>
    </row>
    <row r="1224" spans="1:6" x14ac:dyDescent="0.25">
      <c r="A1224" t="s">
        <v>98</v>
      </c>
      <c r="B1224" s="6">
        <v>45681</v>
      </c>
      <c r="C1224" t="s">
        <v>201</v>
      </c>
      <c r="D1224" t="s">
        <v>180</v>
      </c>
      <c r="E1224">
        <v>283213</v>
      </c>
      <c r="F1224">
        <v>644.27359999999999</v>
      </c>
    </row>
    <row r="1225" spans="1:6" x14ac:dyDescent="0.25">
      <c r="A1225" t="s">
        <v>98</v>
      </c>
      <c r="B1225" s="6">
        <v>45681</v>
      </c>
      <c r="C1225" t="s">
        <v>201</v>
      </c>
      <c r="D1225" t="s">
        <v>180</v>
      </c>
      <c r="E1225">
        <v>284367</v>
      </c>
      <c r="F1225">
        <v>643.36760000000004</v>
      </c>
    </row>
    <row r="1226" spans="1:6" x14ac:dyDescent="0.25">
      <c r="A1226" t="s">
        <v>98</v>
      </c>
      <c r="B1226" s="6">
        <v>45681</v>
      </c>
      <c r="C1226" t="s">
        <v>201</v>
      </c>
      <c r="D1226" t="s">
        <v>180</v>
      </c>
      <c r="E1226">
        <v>285187</v>
      </c>
      <c r="F1226">
        <v>642.18290000000002</v>
      </c>
    </row>
    <row r="1227" spans="1:6" x14ac:dyDescent="0.25">
      <c r="A1227" t="s">
        <v>98</v>
      </c>
      <c r="B1227" s="6">
        <v>45681</v>
      </c>
      <c r="C1227" t="s">
        <v>201</v>
      </c>
      <c r="D1227" t="s">
        <v>180</v>
      </c>
      <c r="E1227">
        <v>286957</v>
      </c>
      <c r="F1227">
        <v>641.15309999999999</v>
      </c>
    </row>
    <row r="1228" spans="1:6" x14ac:dyDescent="0.25">
      <c r="A1228" t="s">
        <v>98</v>
      </c>
      <c r="B1228" s="6">
        <v>45681</v>
      </c>
      <c r="C1228" t="s">
        <v>201</v>
      </c>
      <c r="D1228" t="s">
        <v>180</v>
      </c>
      <c r="E1228">
        <v>288229</v>
      </c>
      <c r="F1228">
        <v>640.14909999999998</v>
      </c>
    </row>
    <row r="1229" spans="1:6" x14ac:dyDescent="0.25">
      <c r="A1229" t="s">
        <v>98</v>
      </c>
      <c r="B1229" s="6">
        <v>45681</v>
      </c>
      <c r="C1229" t="s">
        <v>201</v>
      </c>
      <c r="D1229" t="s">
        <v>180</v>
      </c>
      <c r="E1229">
        <v>288533</v>
      </c>
      <c r="F1229">
        <v>637.23</v>
      </c>
    </row>
    <row r="1230" spans="1:6" x14ac:dyDescent="0.25">
      <c r="A1230" t="s">
        <v>98</v>
      </c>
      <c r="B1230" s="6">
        <v>45681</v>
      </c>
      <c r="C1230" t="s">
        <v>201</v>
      </c>
      <c r="D1230" t="s">
        <v>180</v>
      </c>
      <c r="E1230">
        <v>288629</v>
      </c>
      <c r="F1230">
        <v>636.44500000000005</v>
      </c>
    </row>
    <row r="1231" spans="1:6" x14ac:dyDescent="0.25">
      <c r="A1231" t="s">
        <v>98</v>
      </c>
      <c r="B1231" s="6">
        <v>45681</v>
      </c>
      <c r="C1231" t="s">
        <v>201</v>
      </c>
      <c r="D1231" t="s">
        <v>180</v>
      </c>
      <c r="E1231">
        <v>0</v>
      </c>
      <c r="F1231">
        <v>650.88210000000004</v>
      </c>
    </row>
    <row r="1232" spans="1:6" x14ac:dyDescent="0.25">
      <c r="A1232" t="s">
        <v>98</v>
      </c>
      <c r="B1232" s="6">
        <v>45681</v>
      </c>
      <c r="C1232" t="s">
        <v>201</v>
      </c>
      <c r="D1232" t="s">
        <v>180</v>
      </c>
      <c r="E1232">
        <v>390</v>
      </c>
      <c r="F1232">
        <v>649.96550000000002</v>
      </c>
    </row>
    <row r="1233" spans="1:6" x14ac:dyDescent="0.25">
      <c r="A1233" t="s">
        <v>98</v>
      </c>
      <c r="B1233" s="6">
        <v>45681</v>
      </c>
      <c r="C1233" t="s">
        <v>201</v>
      </c>
      <c r="D1233" t="s">
        <v>180</v>
      </c>
      <c r="E1233">
        <v>1089</v>
      </c>
      <c r="F1233">
        <v>649.12660000000005</v>
      </c>
    </row>
    <row r="1234" spans="1:6" x14ac:dyDescent="0.25">
      <c r="A1234" t="s">
        <v>98</v>
      </c>
      <c r="B1234" s="6">
        <v>45681</v>
      </c>
      <c r="C1234" t="s">
        <v>201</v>
      </c>
      <c r="D1234" t="s">
        <v>180</v>
      </c>
      <c r="E1234">
        <v>2160</v>
      </c>
      <c r="F1234">
        <v>647.61099999999999</v>
      </c>
    </row>
    <row r="1235" spans="1:6" x14ac:dyDescent="0.25">
      <c r="A1235" t="s">
        <v>98</v>
      </c>
      <c r="B1235" s="6">
        <v>45681</v>
      </c>
      <c r="C1235" t="s">
        <v>201</v>
      </c>
      <c r="D1235" t="s">
        <v>180</v>
      </c>
      <c r="E1235">
        <v>3609</v>
      </c>
      <c r="F1235">
        <v>646.81029999999998</v>
      </c>
    </row>
    <row r="1236" spans="1:6" x14ac:dyDescent="0.25">
      <c r="A1236" t="s">
        <v>98</v>
      </c>
      <c r="B1236" s="6">
        <v>45681</v>
      </c>
      <c r="C1236" t="s">
        <v>201</v>
      </c>
      <c r="D1236" t="s">
        <v>180</v>
      </c>
      <c r="E1236">
        <v>6083</v>
      </c>
      <c r="F1236">
        <v>645.82569999999998</v>
      </c>
    </row>
    <row r="1237" spans="1:6" x14ac:dyDescent="0.25">
      <c r="A1237" t="s">
        <v>98</v>
      </c>
      <c r="B1237" s="6">
        <v>45681</v>
      </c>
      <c r="C1237" t="s">
        <v>201</v>
      </c>
      <c r="D1237" t="s">
        <v>180</v>
      </c>
      <c r="E1237">
        <v>10538</v>
      </c>
      <c r="F1237">
        <v>644.89760000000001</v>
      </c>
    </row>
    <row r="1238" spans="1:6" x14ac:dyDescent="0.25">
      <c r="A1238" t="s">
        <v>98</v>
      </c>
      <c r="B1238" s="6">
        <v>45681</v>
      </c>
      <c r="C1238" t="s">
        <v>201</v>
      </c>
      <c r="D1238" t="s">
        <v>180</v>
      </c>
      <c r="E1238">
        <v>14354</v>
      </c>
      <c r="F1238">
        <v>643.8098</v>
      </c>
    </row>
    <row r="1239" spans="1:6" x14ac:dyDescent="0.25">
      <c r="A1239" t="s">
        <v>98</v>
      </c>
      <c r="B1239" s="6">
        <v>45681</v>
      </c>
      <c r="C1239" t="s">
        <v>201</v>
      </c>
      <c r="D1239" t="s">
        <v>180</v>
      </c>
      <c r="E1239">
        <v>15943</v>
      </c>
      <c r="F1239">
        <v>642.69550000000004</v>
      </c>
    </row>
    <row r="1240" spans="1:6" x14ac:dyDescent="0.25">
      <c r="A1240" t="s">
        <v>98</v>
      </c>
      <c r="B1240" s="6">
        <v>45681</v>
      </c>
      <c r="C1240" t="s">
        <v>201</v>
      </c>
      <c r="D1240" t="s">
        <v>180</v>
      </c>
      <c r="E1240">
        <v>18013</v>
      </c>
      <c r="F1240">
        <v>641.77760000000001</v>
      </c>
    </row>
    <row r="1241" spans="1:6" x14ac:dyDescent="0.25">
      <c r="A1241" t="s">
        <v>98</v>
      </c>
      <c r="B1241" s="6">
        <v>45681</v>
      </c>
      <c r="C1241" t="s">
        <v>201</v>
      </c>
      <c r="D1241" t="s">
        <v>180</v>
      </c>
      <c r="E1241">
        <v>20744</v>
      </c>
      <c r="F1241">
        <v>640.76340000000005</v>
      </c>
    </row>
    <row r="1242" spans="1:6" x14ac:dyDescent="0.25">
      <c r="A1242" t="s">
        <v>98</v>
      </c>
      <c r="B1242" s="6">
        <v>45681</v>
      </c>
      <c r="C1242" t="s">
        <v>201</v>
      </c>
      <c r="D1242" t="s">
        <v>180</v>
      </c>
      <c r="E1242">
        <v>22366</v>
      </c>
      <c r="F1242">
        <v>638.62</v>
      </c>
    </row>
    <row r="1243" spans="1:6" x14ac:dyDescent="0.25">
      <c r="A1243" t="s">
        <v>98</v>
      </c>
      <c r="B1243" s="6">
        <v>45681</v>
      </c>
      <c r="C1243" t="s">
        <v>201</v>
      </c>
      <c r="D1243" t="s">
        <v>180</v>
      </c>
      <c r="E1243">
        <v>22456</v>
      </c>
      <c r="F1243">
        <v>637.11950000000002</v>
      </c>
    </row>
    <row r="1244" spans="1:6" x14ac:dyDescent="0.25">
      <c r="A1244" t="s">
        <v>98</v>
      </c>
      <c r="B1244" s="6">
        <v>45681</v>
      </c>
      <c r="C1244" t="s">
        <v>201</v>
      </c>
      <c r="D1244" t="s">
        <v>180</v>
      </c>
      <c r="E1244">
        <v>22646</v>
      </c>
      <c r="F1244">
        <v>635.91669999999999</v>
      </c>
    </row>
    <row r="1245" spans="1:6" x14ac:dyDescent="0.25">
      <c r="A1245" t="s">
        <v>98</v>
      </c>
      <c r="B1245" s="6">
        <v>45681</v>
      </c>
      <c r="C1245" t="s">
        <v>201</v>
      </c>
      <c r="D1245" t="s">
        <v>10</v>
      </c>
      <c r="E1245">
        <v>22946</v>
      </c>
      <c r="F1245">
        <v>0</v>
      </c>
    </row>
    <row r="1246" spans="1:6" x14ac:dyDescent="0.25">
      <c r="A1246" t="s">
        <v>98</v>
      </c>
      <c r="B1246" s="6">
        <v>45680</v>
      </c>
      <c r="C1246" t="s">
        <v>201</v>
      </c>
      <c r="D1246" t="s">
        <v>10</v>
      </c>
      <c r="E1246">
        <v>193387416</v>
      </c>
      <c r="F1246">
        <v>0</v>
      </c>
    </row>
    <row r="1247" spans="1:6" x14ac:dyDescent="0.25">
      <c r="A1247" t="s">
        <v>98</v>
      </c>
      <c r="B1247" s="6">
        <v>45680</v>
      </c>
      <c r="C1247" t="s">
        <v>201</v>
      </c>
      <c r="D1247" t="s">
        <v>180</v>
      </c>
      <c r="E1247">
        <v>288821</v>
      </c>
      <c r="F1247">
        <v>636.26499999999999</v>
      </c>
    </row>
    <row r="1248" spans="1:6" x14ac:dyDescent="0.25">
      <c r="A1248" t="s">
        <v>98</v>
      </c>
      <c r="B1248" s="6">
        <v>45680</v>
      </c>
      <c r="C1248" t="s">
        <v>201</v>
      </c>
      <c r="D1248" t="s">
        <v>180</v>
      </c>
      <c r="E1248">
        <v>288893</v>
      </c>
      <c r="F1248">
        <v>635.65869999999995</v>
      </c>
    </row>
    <row r="1249" spans="1:6" x14ac:dyDescent="0.25">
      <c r="A1249" t="s">
        <v>98</v>
      </c>
      <c r="B1249" s="6">
        <v>45680</v>
      </c>
      <c r="C1249" t="s">
        <v>201</v>
      </c>
      <c r="D1249" t="s">
        <v>180</v>
      </c>
      <c r="E1249">
        <v>289415</v>
      </c>
      <c r="F1249">
        <v>634.44079999999997</v>
      </c>
    </row>
    <row r="1250" spans="1:6" x14ac:dyDescent="0.25">
      <c r="A1250" t="s">
        <v>98</v>
      </c>
      <c r="B1250" s="6">
        <v>45680</v>
      </c>
      <c r="C1250" t="s">
        <v>201</v>
      </c>
      <c r="D1250" t="s">
        <v>180</v>
      </c>
      <c r="E1250">
        <v>289611</v>
      </c>
      <c r="F1250">
        <v>632.65710000000001</v>
      </c>
    </row>
    <row r="1251" spans="1:6" x14ac:dyDescent="0.25">
      <c r="A1251" t="s">
        <v>98</v>
      </c>
      <c r="B1251" s="6">
        <v>45680</v>
      </c>
      <c r="C1251" t="s">
        <v>201</v>
      </c>
      <c r="D1251" t="s">
        <v>180</v>
      </c>
      <c r="E1251">
        <v>290512</v>
      </c>
      <c r="F1251">
        <v>631.84310000000005</v>
      </c>
    </row>
    <row r="1252" spans="1:6" x14ac:dyDescent="0.25">
      <c r="A1252" t="s">
        <v>98</v>
      </c>
      <c r="B1252" s="6">
        <v>45680</v>
      </c>
      <c r="C1252" t="s">
        <v>201</v>
      </c>
      <c r="D1252" t="s">
        <v>180</v>
      </c>
      <c r="E1252">
        <v>292084</v>
      </c>
      <c r="F1252">
        <v>630.65769999999998</v>
      </c>
    </row>
    <row r="1253" spans="1:6" x14ac:dyDescent="0.25">
      <c r="A1253" t="s">
        <v>98</v>
      </c>
      <c r="B1253" s="6">
        <v>45680</v>
      </c>
      <c r="C1253" t="s">
        <v>201</v>
      </c>
      <c r="D1253" t="s">
        <v>180</v>
      </c>
      <c r="E1253">
        <v>293266</v>
      </c>
      <c r="F1253">
        <v>629.70960000000002</v>
      </c>
    </row>
    <row r="1254" spans="1:6" x14ac:dyDescent="0.25">
      <c r="A1254" t="s">
        <v>98</v>
      </c>
      <c r="B1254" s="6">
        <v>45680</v>
      </c>
      <c r="C1254" t="s">
        <v>201</v>
      </c>
      <c r="D1254" t="s">
        <v>180</v>
      </c>
      <c r="E1254">
        <v>295105</v>
      </c>
      <c r="F1254">
        <v>628.60559999999998</v>
      </c>
    </row>
    <row r="1255" spans="1:6" x14ac:dyDescent="0.25">
      <c r="A1255" t="s">
        <v>98</v>
      </c>
      <c r="B1255" s="6">
        <v>45680</v>
      </c>
      <c r="C1255" t="s">
        <v>201</v>
      </c>
      <c r="D1255" t="s">
        <v>180</v>
      </c>
      <c r="E1255">
        <v>297103</v>
      </c>
      <c r="F1255">
        <v>627.5222</v>
      </c>
    </row>
    <row r="1256" spans="1:6" x14ac:dyDescent="0.25">
      <c r="A1256" t="s">
        <v>98</v>
      </c>
      <c r="B1256" s="6">
        <v>45680</v>
      </c>
      <c r="C1256" t="s">
        <v>201</v>
      </c>
      <c r="D1256" t="s">
        <v>180</v>
      </c>
      <c r="E1256">
        <v>297802</v>
      </c>
      <c r="F1256">
        <v>626.7998</v>
      </c>
    </row>
    <row r="1257" spans="1:6" x14ac:dyDescent="0.25">
      <c r="A1257" t="s">
        <v>98</v>
      </c>
      <c r="B1257" s="6">
        <v>45680</v>
      </c>
      <c r="C1257" t="s">
        <v>201</v>
      </c>
      <c r="D1257" t="s">
        <v>180</v>
      </c>
      <c r="E1257">
        <v>298551</v>
      </c>
      <c r="F1257">
        <v>625.56700000000001</v>
      </c>
    </row>
    <row r="1258" spans="1:6" x14ac:dyDescent="0.25">
      <c r="A1258" t="s">
        <v>98</v>
      </c>
      <c r="B1258" s="6">
        <v>45680</v>
      </c>
      <c r="C1258" t="s">
        <v>201</v>
      </c>
      <c r="D1258" t="s">
        <v>180</v>
      </c>
      <c r="E1258">
        <v>300011</v>
      </c>
      <c r="F1258">
        <v>624.65459999999996</v>
      </c>
    </row>
    <row r="1259" spans="1:6" x14ac:dyDescent="0.25">
      <c r="A1259" t="s">
        <v>98</v>
      </c>
      <c r="B1259" s="6">
        <v>45680</v>
      </c>
      <c r="C1259" t="s">
        <v>201</v>
      </c>
      <c r="D1259" t="s">
        <v>180</v>
      </c>
      <c r="E1259">
        <v>301408</v>
      </c>
      <c r="F1259">
        <v>623.47529999999995</v>
      </c>
    </row>
    <row r="1260" spans="1:6" x14ac:dyDescent="0.25">
      <c r="A1260" t="s">
        <v>98</v>
      </c>
      <c r="B1260" s="6">
        <v>45680</v>
      </c>
      <c r="C1260" t="s">
        <v>201</v>
      </c>
      <c r="D1260" t="s">
        <v>180</v>
      </c>
      <c r="E1260">
        <v>301700</v>
      </c>
      <c r="F1260">
        <v>621.73500000000001</v>
      </c>
    </row>
    <row r="1261" spans="1:6" x14ac:dyDescent="0.25">
      <c r="A1261" t="s">
        <v>98</v>
      </c>
      <c r="B1261" s="6">
        <v>45680</v>
      </c>
      <c r="C1261" t="s">
        <v>201</v>
      </c>
      <c r="D1261" t="s">
        <v>180</v>
      </c>
      <c r="E1261">
        <v>0</v>
      </c>
      <c r="F1261">
        <v>635.89829999999995</v>
      </c>
    </row>
    <row r="1262" spans="1:6" x14ac:dyDescent="0.25">
      <c r="A1262" t="s">
        <v>98</v>
      </c>
      <c r="B1262" s="6">
        <v>45680</v>
      </c>
      <c r="C1262" t="s">
        <v>201</v>
      </c>
      <c r="D1262" t="s">
        <v>180</v>
      </c>
      <c r="E1262">
        <v>876</v>
      </c>
      <c r="F1262">
        <v>634.86490000000003</v>
      </c>
    </row>
    <row r="1263" spans="1:6" x14ac:dyDescent="0.25">
      <c r="A1263" t="s">
        <v>98</v>
      </c>
      <c r="B1263" s="6">
        <v>45680</v>
      </c>
      <c r="C1263" t="s">
        <v>201</v>
      </c>
      <c r="D1263" t="s">
        <v>180</v>
      </c>
      <c r="E1263">
        <v>1346</v>
      </c>
      <c r="F1263">
        <v>632.97360000000003</v>
      </c>
    </row>
    <row r="1264" spans="1:6" x14ac:dyDescent="0.25">
      <c r="A1264" t="s">
        <v>98</v>
      </c>
      <c r="B1264" s="6">
        <v>45680</v>
      </c>
      <c r="C1264" t="s">
        <v>201</v>
      </c>
      <c r="D1264" t="s">
        <v>180</v>
      </c>
      <c r="E1264">
        <v>1936</v>
      </c>
      <c r="F1264">
        <v>632.2396</v>
      </c>
    </row>
    <row r="1265" spans="1:6" x14ac:dyDescent="0.25">
      <c r="A1265" t="s">
        <v>98</v>
      </c>
      <c r="B1265" s="6">
        <v>45680</v>
      </c>
      <c r="C1265" t="s">
        <v>201</v>
      </c>
      <c r="D1265" t="s">
        <v>180</v>
      </c>
      <c r="E1265">
        <v>4611</v>
      </c>
      <c r="F1265">
        <v>631.29459999999995</v>
      </c>
    </row>
    <row r="1266" spans="1:6" x14ac:dyDescent="0.25">
      <c r="A1266" t="s">
        <v>98</v>
      </c>
      <c r="B1266" s="6">
        <v>45680</v>
      </c>
      <c r="C1266" t="s">
        <v>201</v>
      </c>
      <c r="D1266" t="s">
        <v>180</v>
      </c>
      <c r="E1266">
        <v>7021</v>
      </c>
      <c r="F1266">
        <v>630.13789999999995</v>
      </c>
    </row>
    <row r="1267" spans="1:6" x14ac:dyDescent="0.25">
      <c r="A1267" t="s">
        <v>98</v>
      </c>
      <c r="B1267" s="6">
        <v>45680</v>
      </c>
      <c r="C1267" t="s">
        <v>201</v>
      </c>
      <c r="D1267" t="s">
        <v>180</v>
      </c>
      <c r="E1267">
        <v>9631</v>
      </c>
      <c r="F1267">
        <v>629.14559999999994</v>
      </c>
    </row>
    <row r="1268" spans="1:6" x14ac:dyDescent="0.25">
      <c r="A1268" t="s">
        <v>98</v>
      </c>
      <c r="B1268" s="6">
        <v>45680</v>
      </c>
      <c r="C1268" t="s">
        <v>201</v>
      </c>
      <c r="D1268" t="s">
        <v>180</v>
      </c>
      <c r="E1268">
        <v>12584</v>
      </c>
      <c r="F1268">
        <v>628.15139999999997</v>
      </c>
    </row>
    <row r="1269" spans="1:6" x14ac:dyDescent="0.25">
      <c r="A1269" t="s">
        <v>98</v>
      </c>
      <c r="B1269" s="6">
        <v>45680</v>
      </c>
      <c r="C1269" t="s">
        <v>201</v>
      </c>
      <c r="D1269" t="s">
        <v>180</v>
      </c>
      <c r="E1269">
        <v>14894</v>
      </c>
      <c r="F1269">
        <v>627.30849999999998</v>
      </c>
    </row>
    <row r="1270" spans="1:6" x14ac:dyDescent="0.25">
      <c r="A1270" t="s">
        <v>98</v>
      </c>
      <c r="B1270" s="6">
        <v>45680</v>
      </c>
      <c r="C1270" t="s">
        <v>201</v>
      </c>
      <c r="D1270" t="s">
        <v>180</v>
      </c>
      <c r="E1270">
        <v>16981</v>
      </c>
      <c r="F1270">
        <v>625.87720000000002</v>
      </c>
    </row>
    <row r="1271" spans="1:6" x14ac:dyDescent="0.25">
      <c r="A1271" t="s">
        <v>98</v>
      </c>
      <c r="B1271" s="6">
        <v>45680</v>
      </c>
      <c r="C1271" t="s">
        <v>201</v>
      </c>
      <c r="D1271" t="s">
        <v>180</v>
      </c>
      <c r="E1271">
        <v>19003</v>
      </c>
      <c r="F1271">
        <v>624.90260000000001</v>
      </c>
    </row>
    <row r="1272" spans="1:6" x14ac:dyDescent="0.25">
      <c r="A1272" t="s">
        <v>98</v>
      </c>
      <c r="B1272" s="6">
        <v>45680</v>
      </c>
      <c r="C1272" t="s">
        <v>201</v>
      </c>
      <c r="D1272" t="s">
        <v>180</v>
      </c>
      <c r="E1272">
        <v>22146</v>
      </c>
      <c r="F1272">
        <v>623.7636</v>
      </c>
    </row>
    <row r="1273" spans="1:6" x14ac:dyDescent="0.25">
      <c r="A1273" t="s">
        <v>98</v>
      </c>
      <c r="B1273" s="6">
        <v>45680</v>
      </c>
      <c r="C1273" t="s">
        <v>201</v>
      </c>
      <c r="D1273" t="s">
        <v>180</v>
      </c>
      <c r="E1273">
        <v>22846</v>
      </c>
      <c r="F1273">
        <v>621.83000000000004</v>
      </c>
    </row>
    <row r="1274" spans="1:6" x14ac:dyDescent="0.25">
      <c r="A1274" t="s">
        <v>98</v>
      </c>
      <c r="B1274" s="6">
        <v>45680</v>
      </c>
      <c r="C1274" t="s">
        <v>201</v>
      </c>
      <c r="D1274" t="s">
        <v>10</v>
      </c>
      <c r="E1274">
        <v>22946</v>
      </c>
      <c r="F1274">
        <v>0</v>
      </c>
    </row>
    <row r="1275" spans="1:6" x14ac:dyDescent="0.25">
      <c r="A1275" t="s">
        <v>98</v>
      </c>
      <c r="B1275" s="6">
        <v>45679</v>
      </c>
      <c r="C1275" t="s">
        <v>201</v>
      </c>
      <c r="D1275" t="s">
        <v>10</v>
      </c>
      <c r="E1275">
        <v>193410362</v>
      </c>
      <c r="F1275">
        <v>0</v>
      </c>
    </row>
    <row r="1276" spans="1:6" x14ac:dyDescent="0.25">
      <c r="A1276" t="s">
        <v>98</v>
      </c>
      <c r="B1276" s="6">
        <v>45679</v>
      </c>
      <c r="C1276" t="s">
        <v>201</v>
      </c>
      <c r="D1276" t="s">
        <v>180</v>
      </c>
      <c r="E1276">
        <v>301796</v>
      </c>
      <c r="F1276">
        <v>632.84529999999995</v>
      </c>
    </row>
    <row r="1277" spans="1:6" x14ac:dyDescent="0.25">
      <c r="A1277" t="s">
        <v>98</v>
      </c>
      <c r="B1277" s="6">
        <v>45679</v>
      </c>
      <c r="C1277" t="s">
        <v>201</v>
      </c>
      <c r="D1277" t="s">
        <v>180</v>
      </c>
      <c r="E1277">
        <v>302382</v>
      </c>
      <c r="F1277">
        <v>632.02909999999997</v>
      </c>
    </row>
    <row r="1278" spans="1:6" x14ac:dyDescent="0.25">
      <c r="A1278" t="s">
        <v>98</v>
      </c>
      <c r="B1278" s="6">
        <v>45679</v>
      </c>
      <c r="C1278" t="s">
        <v>201</v>
      </c>
      <c r="D1278" t="s">
        <v>180</v>
      </c>
      <c r="E1278">
        <v>302958</v>
      </c>
      <c r="F1278">
        <v>630.92570000000001</v>
      </c>
    </row>
    <row r="1279" spans="1:6" x14ac:dyDescent="0.25">
      <c r="A1279" t="s">
        <v>98</v>
      </c>
      <c r="B1279" s="6">
        <v>45679</v>
      </c>
      <c r="C1279" t="s">
        <v>201</v>
      </c>
      <c r="D1279" t="s">
        <v>180</v>
      </c>
      <c r="E1279">
        <v>303940</v>
      </c>
      <c r="F1279">
        <v>629.9932</v>
      </c>
    </row>
    <row r="1280" spans="1:6" x14ac:dyDescent="0.25">
      <c r="A1280" t="s">
        <v>98</v>
      </c>
      <c r="B1280" s="6">
        <v>45679</v>
      </c>
      <c r="C1280" t="s">
        <v>201</v>
      </c>
      <c r="D1280" t="s">
        <v>180</v>
      </c>
      <c r="E1280">
        <v>304436</v>
      </c>
      <c r="F1280">
        <v>628.42330000000004</v>
      </c>
    </row>
    <row r="1281" spans="1:6" x14ac:dyDescent="0.25">
      <c r="A1281" t="s">
        <v>98</v>
      </c>
      <c r="B1281" s="6">
        <v>45679</v>
      </c>
      <c r="C1281" t="s">
        <v>201</v>
      </c>
      <c r="D1281" t="s">
        <v>180</v>
      </c>
      <c r="E1281">
        <v>306385</v>
      </c>
      <c r="F1281">
        <v>627.31100000000004</v>
      </c>
    </row>
    <row r="1282" spans="1:6" x14ac:dyDescent="0.25">
      <c r="A1282" t="s">
        <v>98</v>
      </c>
      <c r="B1282" s="6">
        <v>45679</v>
      </c>
      <c r="C1282" t="s">
        <v>201</v>
      </c>
      <c r="D1282" t="s">
        <v>180</v>
      </c>
      <c r="E1282">
        <v>307997</v>
      </c>
      <c r="F1282">
        <v>626.33489999999995</v>
      </c>
    </row>
    <row r="1283" spans="1:6" x14ac:dyDescent="0.25">
      <c r="A1283" t="s">
        <v>98</v>
      </c>
      <c r="B1283" s="6">
        <v>45679</v>
      </c>
      <c r="C1283" t="s">
        <v>201</v>
      </c>
      <c r="D1283" t="s">
        <v>180</v>
      </c>
      <c r="E1283">
        <v>310678</v>
      </c>
      <c r="F1283">
        <v>625.33820000000003</v>
      </c>
    </row>
    <row r="1284" spans="1:6" x14ac:dyDescent="0.25">
      <c r="A1284" t="s">
        <v>98</v>
      </c>
      <c r="B1284" s="6">
        <v>45679</v>
      </c>
      <c r="C1284" t="s">
        <v>201</v>
      </c>
      <c r="D1284" t="s">
        <v>180</v>
      </c>
      <c r="E1284">
        <v>311620</v>
      </c>
      <c r="F1284">
        <v>623.7885</v>
      </c>
    </row>
    <row r="1285" spans="1:6" x14ac:dyDescent="0.25">
      <c r="A1285" t="s">
        <v>98</v>
      </c>
      <c r="B1285" s="6">
        <v>45679</v>
      </c>
      <c r="C1285" t="s">
        <v>201</v>
      </c>
      <c r="D1285" t="s">
        <v>180</v>
      </c>
      <c r="E1285">
        <v>312368</v>
      </c>
      <c r="F1285">
        <v>623.00409999999999</v>
      </c>
    </row>
    <row r="1286" spans="1:6" x14ac:dyDescent="0.25">
      <c r="A1286" t="s">
        <v>98</v>
      </c>
      <c r="B1286" s="6">
        <v>45679</v>
      </c>
      <c r="C1286" t="s">
        <v>201</v>
      </c>
      <c r="D1286" t="s">
        <v>180</v>
      </c>
      <c r="E1286">
        <v>313282</v>
      </c>
      <c r="F1286">
        <v>621.75879999999995</v>
      </c>
    </row>
    <row r="1287" spans="1:6" x14ac:dyDescent="0.25">
      <c r="A1287" t="s">
        <v>98</v>
      </c>
      <c r="B1287" s="6">
        <v>45679</v>
      </c>
      <c r="C1287" t="s">
        <v>201</v>
      </c>
      <c r="D1287" t="s">
        <v>180</v>
      </c>
      <c r="E1287">
        <v>0</v>
      </c>
      <c r="F1287">
        <v>633.39</v>
      </c>
    </row>
    <row r="1288" spans="1:6" x14ac:dyDescent="0.25">
      <c r="A1288" t="s">
        <v>98</v>
      </c>
      <c r="B1288" s="6">
        <v>45679</v>
      </c>
      <c r="C1288" t="s">
        <v>201</v>
      </c>
      <c r="D1288" t="s">
        <v>180</v>
      </c>
      <c r="E1288">
        <v>90</v>
      </c>
      <c r="F1288">
        <v>632.67849999999999</v>
      </c>
    </row>
    <row r="1289" spans="1:6" x14ac:dyDescent="0.25">
      <c r="A1289" t="s">
        <v>98</v>
      </c>
      <c r="B1289" s="6">
        <v>45679</v>
      </c>
      <c r="C1289" t="s">
        <v>201</v>
      </c>
      <c r="D1289" t="s">
        <v>180</v>
      </c>
      <c r="E1289">
        <v>1275</v>
      </c>
      <c r="F1289">
        <v>631.61789999999996</v>
      </c>
    </row>
    <row r="1290" spans="1:6" x14ac:dyDescent="0.25">
      <c r="A1290" t="s">
        <v>98</v>
      </c>
      <c r="B1290" s="6">
        <v>45679</v>
      </c>
      <c r="C1290" t="s">
        <v>201</v>
      </c>
      <c r="D1290" t="s">
        <v>180</v>
      </c>
      <c r="E1290">
        <v>2556</v>
      </c>
      <c r="F1290">
        <v>630.58389999999997</v>
      </c>
    </row>
    <row r="1291" spans="1:6" x14ac:dyDescent="0.25">
      <c r="A1291" t="s">
        <v>98</v>
      </c>
      <c r="B1291" s="6">
        <v>45679</v>
      </c>
      <c r="C1291" t="s">
        <v>201</v>
      </c>
      <c r="D1291" t="s">
        <v>180</v>
      </c>
      <c r="E1291">
        <v>4171</v>
      </c>
      <c r="F1291">
        <v>629.37530000000004</v>
      </c>
    </row>
    <row r="1292" spans="1:6" x14ac:dyDescent="0.25">
      <c r="A1292" t="s">
        <v>98</v>
      </c>
      <c r="B1292" s="6">
        <v>45679</v>
      </c>
      <c r="C1292" t="s">
        <v>201</v>
      </c>
      <c r="D1292" t="s">
        <v>180</v>
      </c>
      <c r="E1292">
        <v>4998</v>
      </c>
      <c r="F1292">
        <v>628.29570000000001</v>
      </c>
    </row>
    <row r="1293" spans="1:6" x14ac:dyDescent="0.25">
      <c r="A1293" t="s">
        <v>98</v>
      </c>
      <c r="B1293" s="6">
        <v>45679</v>
      </c>
      <c r="C1293" t="s">
        <v>201</v>
      </c>
      <c r="D1293" t="s">
        <v>180</v>
      </c>
      <c r="E1293">
        <v>7810</v>
      </c>
      <c r="F1293">
        <v>627.24710000000005</v>
      </c>
    </row>
    <row r="1294" spans="1:6" x14ac:dyDescent="0.25">
      <c r="A1294" t="s">
        <v>98</v>
      </c>
      <c r="B1294" s="6">
        <v>45679</v>
      </c>
      <c r="C1294" t="s">
        <v>201</v>
      </c>
      <c r="D1294" t="s">
        <v>180</v>
      </c>
      <c r="E1294">
        <v>11482</v>
      </c>
      <c r="F1294">
        <v>626.32190000000003</v>
      </c>
    </row>
    <row r="1295" spans="1:6" x14ac:dyDescent="0.25">
      <c r="A1295" t="s">
        <v>98</v>
      </c>
      <c r="B1295" s="6">
        <v>45679</v>
      </c>
      <c r="C1295" t="s">
        <v>201</v>
      </c>
      <c r="D1295" t="s">
        <v>180</v>
      </c>
      <c r="E1295">
        <v>15548</v>
      </c>
      <c r="F1295">
        <v>625.41219999999998</v>
      </c>
    </row>
    <row r="1296" spans="1:6" x14ac:dyDescent="0.25">
      <c r="A1296" t="s">
        <v>98</v>
      </c>
      <c r="B1296" s="6">
        <v>45679</v>
      </c>
      <c r="C1296" t="s">
        <v>201</v>
      </c>
      <c r="D1296" t="s">
        <v>180</v>
      </c>
      <c r="E1296">
        <v>17233</v>
      </c>
      <c r="F1296">
        <v>624.20519999999999</v>
      </c>
    </row>
    <row r="1297" spans="1:6" x14ac:dyDescent="0.25">
      <c r="A1297" t="s">
        <v>98</v>
      </c>
      <c r="B1297" s="6">
        <v>45679</v>
      </c>
      <c r="C1297" t="s">
        <v>201</v>
      </c>
      <c r="D1297" t="s">
        <v>180</v>
      </c>
      <c r="E1297">
        <v>18049</v>
      </c>
      <c r="F1297">
        <v>623.18409999999994</v>
      </c>
    </row>
    <row r="1298" spans="1:6" x14ac:dyDescent="0.25">
      <c r="A1298" t="s">
        <v>98</v>
      </c>
      <c r="B1298" s="6">
        <v>45679</v>
      </c>
      <c r="C1298" t="s">
        <v>201</v>
      </c>
      <c r="D1298" t="s">
        <v>180</v>
      </c>
      <c r="E1298">
        <v>19909</v>
      </c>
      <c r="F1298">
        <v>622.16520000000003</v>
      </c>
    </row>
    <row r="1299" spans="1:6" x14ac:dyDescent="0.25">
      <c r="A1299" t="s">
        <v>98</v>
      </c>
      <c r="B1299" s="6">
        <v>45679</v>
      </c>
      <c r="C1299" t="s">
        <v>201</v>
      </c>
      <c r="D1299" t="s">
        <v>180</v>
      </c>
      <c r="E1299">
        <v>21886</v>
      </c>
      <c r="F1299">
        <v>621.2002</v>
      </c>
    </row>
    <row r="1300" spans="1:6" x14ac:dyDescent="0.25">
      <c r="A1300" t="s">
        <v>98</v>
      </c>
      <c r="B1300" s="6">
        <v>45679</v>
      </c>
      <c r="C1300" t="s">
        <v>201</v>
      </c>
      <c r="D1300" t="s">
        <v>10</v>
      </c>
      <c r="E1300">
        <v>22946</v>
      </c>
      <c r="F1300">
        <v>0</v>
      </c>
    </row>
    <row r="1301" spans="1:6" x14ac:dyDescent="0.25">
      <c r="A1301" t="s">
        <v>98</v>
      </c>
      <c r="B1301" s="6">
        <v>45678</v>
      </c>
      <c r="C1301" t="s">
        <v>196</v>
      </c>
      <c r="D1301" t="s">
        <v>180</v>
      </c>
      <c r="E1301">
        <v>16275</v>
      </c>
      <c r="F1301">
        <v>618</v>
      </c>
    </row>
    <row r="1302" spans="1:6" x14ac:dyDescent="0.25">
      <c r="A1302" t="s">
        <v>98</v>
      </c>
      <c r="B1302" s="6">
        <v>45678</v>
      </c>
      <c r="C1302" t="s">
        <v>195</v>
      </c>
      <c r="D1302" t="s">
        <v>180</v>
      </c>
      <c r="E1302">
        <v>30200</v>
      </c>
      <c r="F1302">
        <v>618</v>
      </c>
    </row>
    <row r="1303" spans="1:6" x14ac:dyDescent="0.25">
      <c r="A1303" t="s">
        <v>98</v>
      </c>
      <c r="B1303" s="6">
        <v>45678</v>
      </c>
      <c r="C1303" t="s">
        <v>201</v>
      </c>
      <c r="D1303" t="s">
        <v>10</v>
      </c>
      <c r="E1303">
        <v>193433308</v>
      </c>
      <c r="F1303">
        <v>0</v>
      </c>
    </row>
    <row r="1304" spans="1:6" x14ac:dyDescent="0.25">
      <c r="A1304" t="s">
        <v>98</v>
      </c>
      <c r="B1304" s="6">
        <v>45678</v>
      </c>
      <c r="C1304" t="s">
        <v>201</v>
      </c>
      <c r="D1304" t="s">
        <v>180</v>
      </c>
      <c r="E1304">
        <v>314771</v>
      </c>
      <c r="F1304">
        <v>621</v>
      </c>
    </row>
    <row r="1305" spans="1:6" x14ac:dyDescent="0.25">
      <c r="A1305" t="s">
        <v>98</v>
      </c>
      <c r="B1305" s="6">
        <v>45678</v>
      </c>
      <c r="C1305" t="s">
        <v>201</v>
      </c>
      <c r="D1305" t="s">
        <v>180</v>
      </c>
      <c r="E1305">
        <v>314855</v>
      </c>
      <c r="F1305">
        <v>619.47500000000002</v>
      </c>
    </row>
    <row r="1306" spans="1:6" x14ac:dyDescent="0.25">
      <c r="A1306" t="s">
        <v>98</v>
      </c>
      <c r="B1306" s="6">
        <v>45678</v>
      </c>
      <c r="C1306" t="s">
        <v>201</v>
      </c>
      <c r="D1306" t="s">
        <v>180</v>
      </c>
      <c r="E1306">
        <v>315055</v>
      </c>
      <c r="F1306">
        <v>618.65229999999997</v>
      </c>
    </row>
    <row r="1307" spans="1:6" x14ac:dyDescent="0.25">
      <c r="A1307" t="s">
        <v>98</v>
      </c>
      <c r="B1307" s="6">
        <v>45678</v>
      </c>
      <c r="C1307" t="s">
        <v>201</v>
      </c>
      <c r="D1307" t="s">
        <v>180</v>
      </c>
      <c r="E1307">
        <v>316215</v>
      </c>
      <c r="F1307">
        <v>617.50160000000005</v>
      </c>
    </row>
    <row r="1308" spans="1:6" x14ac:dyDescent="0.25">
      <c r="A1308" t="s">
        <v>98</v>
      </c>
      <c r="B1308" s="6">
        <v>45678</v>
      </c>
      <c r="C1308" t="s">
        <v>201</v>
      </c>
      <c r="D1308" t="s">
        <v>180</v>
      </c>
      <c r="E1308">
        <v>319205</v>
      </c>
      <c r="F1308">
        <v>616.55539999999996</v>
      </c>
    </row>
    <row r="1309" spans="1:6" x14ac:dyDescent="0.25">
      <c r="A1309" t="s">
        <v>98</v>
      </c>
      <c r="B1309" s="6">
        <v>45678</v>
      </c>
      <c r="C1309" t="s">
        <v>201</v>
      </c>
      <c r="D1309" t="s">
        <v>180</v>
      </c>
      <c r="E1309">
        <v>321786</v>
      </c>
      <c r="F1309">
        <v>615.55709999999999</v>
      </c>
    </row>
    <row r="1310" spans="1:6" x14ac:dyDescent="0.25">
      <c r="A1310" t="s">
        <v>98</v>
      </c>
      <c r="B1310" s="6">
        <v>45678</v>
      </c>
      <c r="C1310" t="s">
        <v>201</v>
      </c>
      <c r="D1310" t="s">
        <v>180</v>
      </c>
      <c r="E1310">
        <v>323974</v>
      </c>
      <c r="F1310">
        <v>614.44730000000004</v>
      </c>
    </row>
    <row r="1311" spans="1:6" x14ac:dyDescent="0.25">
      <c r="A1311" t="s">
        <v>98</v>
      </c>
      <c r="B1311" s="6">
        <v>45678</v>
      </c>
      <c r="C1311" t="s">
        <v>201</v>
      </c>
      <c r="D1311" t="s">
        <v>180</v>
      </c>
      <c r="E1311">
        <v>324956</v>
      </c>
      <c r="F1311">
        <v>613.53290000000004</v>
      </c>
    </row>
    <row r="1312" spans="1:6" x14ac:dyDescent="0.25">
      <c r="A1312" t="s">
        <v>98</v>
      </c>
      <c r="B1312" s="6">
        <v>45678</v>
      </c>
      <c r="C1312" t="s">
        <v>201</v>
      </c>
      <c r="D1312" t="s">
        <v>180</v>
      </c>
      <c r="E1312">
        <v>326644</v>
      </c>
      <c r="F1312">
        <v>612.23810000000003</v>
      </c>
    </row>
    <row r="1313" spans="1:6" x14ac:dyDescent="0.25">
      <c r="A1313" t="s">
        <v>98</v>
      </c>
      <c r="B1313" s="6">
        <v>45678</v>
      </c>
      <c r="C1313" t="s">
        <v>201</v>
      </c>
      <c r="D1313" t="s">
        <v>180</v>
      </c>
      <c r="E1313">
        <v>327256</v>
      </c>
      <c r="F1313">
        <v>610.96429999999998</v>
      </c>
    </row>
    <row r="1314" spans="1:6" x14ac:dyDescent="0.25">
      <c r="A1314" t="s">
        <v>98</v>
      </c>
      <c r="B1314" s="6">
        <v>45678</v>
      </c>
      <c r="C1314" t="s">
        <v>201</v>
      </c>
      <c r="D1314" t="s">
        <v>180</v>
      </c>
      <c r="E1314">
        <v>327650</v>
      </c>
      <c r="F1314">
        <v>609.58000000000004</v>
      </c>
    </row>
    <row r="1315" spans="1:6" x14ac:dyDescent="0.25">
      <c r="A1315" t="s">
        <v>98</v>
      </c>
      <c r="B1315" s="6">
        <v>45678</v>
      </c>
      <c r="C1315" t="s">
        <v>201</v>
      </c>
      <c r="D1315" t="s">
        <v>180</v>
      </c>
      <c r="E1315">
        <v>0</v>
      </c>
      <c r="F1315">
        <v>621.01</v>
      </c>
    </row>
    <row r="1316" spans="1:6" x14ac:dyDescent="0.25">
      <c r="A1316" t="s">
        <v>98</v>
      </c>
      <c r="B1316" s="6">
        <v>45678</v>
      </c>
      <c r="C1316" t="s">
        <v>201</v>
      </c>
      <c r="D1316" t="s">
        <v>180</v>
      </c>
      <c r="E1316">
        <v>100</v>
      </c>
      <c r="F1316">
        <v>619.89210000000003</v>
      </c>
    </row>
    <row r="1317" spans="1:6" x14ac:dyDescent="0.25">
      <c r="A1317" t="s">
        <v>98</v>
      </c>
      <c r="B1317" s="6">
        <v>45678</v>
      </c>
      <c r="C1317" t="s">
        <v>201</v>
      </c>
      <c r="D1317" t="s">
        <v>180</v>
      </c>
      <c r="E1317">
        <v>390</v>
      </c>
      <c r="F1317">
        <v>618.62879999999996</v>
      </c>
    </row>
    <row r="1318" spans="1:6" x14ac:dyDescent="0.25">
      <c r="A1318" t="s">
        <v>98</v>
      </c>
      <c r="B1318" s="6">
        <v>45678</v>
      </c>
      <c r="C1318" t="s">
        <v>201</v>
      </c>
      <c r="D1318" t="s">
        <v>180</v>
      </c>
      <c r="E1318">
        <v>2365</v>
      </c>
      <c r="F1318">
        <v>617.61149999999998</v>
      </c>
    </row>
    <row r="1319" spans="1:6" x14ac:dyDescent="0.25">
      <c r="A1319" t="s">
        <v>98</v>
      </c>
      <c r="B1319" s="6">
        <v>45678</v>
      </c>
      <c r="C1319" t="s">
        <v>201</v>
      </c>
      <c r="D1319" t="s">
        <v>180</v>
      </c>
      <c r="E1319">
        <v>6991</v>
      </c>
      <c r="F1319">
        <v>616.67610000000002</v>
      </c>
    </row>
    <row r="1320" spans="1:6" x14ac:dyDescent="0.25">
      <c r="A1320" t="s">
        <v>98</v>
      </c>
      <c r="B1320" s="6">
        <v>45678</v>
      </c>
      <c r="C1320" t="s">
        <v>201</v>
      </c>
      <c r="D1320" t="s">
        <v>180</v>
      </c>
      <c r="E1320">
        <v>11616</v>
      </c>
      <c r="F1320">
        <v>615.7201</v>
      </c>
    </row>
    <row r="1321" spans="1:6" x14ac:dyDescent="0.25">
      <c r="A1321" t="s">
        <v>98</v>
      </c>
      <c r="B1321" s="6">
        <v>45678</v>
      </c>
      <c r="C1321" t="s">
        <v>201</v>
      </c>
      <c r="D1321" t="s">
        <v>180</v>
      </c>
      <c r="E1321">
        <v>15546</v>
      </c>
      <c r="F1321">
        <v>614.63739999999996</v>
      </c>
    </row>
    <row r="1322" spans="1:6" x14ac:dyDescent="0.25">
      <c r="A1322" t="s">
        <v>98</v>
      </c>
      <c r="B1322" s="6">
        <v>45678</v>
      </c>
      <c r="C1322" t="s">
        <v>201</v>
      </c>
      <c r="D1322" t="s">
        <v>180</v>
      </c>
      <c r="E1322">
        <v>17611</v>
      </c>
      <c r="F1322">
        <v>613.59040000000005</v>
      </c>
    </row>
    <row r="1323" spans="1:6" x14ac:dyDescent="0.25">
      <c r="A1323" t="s">
        <v>98</v>
      </c>
      <c r="B1323" s="6">
        <v>45678</v>
      </c>
      <c r="C1323" t="s">
        <v>201</v>
      </c>
      <c r="D1323" t="s">
        <v>180</v>
      </c>
      <c r="E1323">
        <v>20827</v>
      </c>
      <c r="F1323">
        <v>612.58950000000004</v>
      </c>
    </row>
    <row r="1324" spans="1:6" x14ac:dyDescent="0.25">
      <c r="A1324" t="s">
        <v>98</v>
      </c>
      <c r="B1324" s="6">
        <v>45678</v>
      </c>
      <c r="C1324" t="s">
        <v>201</v>
      </c>
      <c r="D1324" t="s">
        <v>180</v>
      </c>
      <c r="E1324">
        <v>21586</v>
      </c>
      <c r="F1324">
        <v>611.67859999999996</v>
      </c>
    </row>
    <row r="1325" spans="1:6" x14ac:dyDescent="0.25">
      <c r="A1325" t="s">
        <v>98</v>
      </c>
      <c r="B1325" s="6">
        <v>45678</v>
      </c>
      <c r="C1325" t="s">
        <v>201</v>
      </c>
      <c r="D1325" t="s">
        <v>180</v>
      </c>
      <c r="E1325">
        <v>22456</v>
      </c>
      <c r="F1325">
        <v>610.43529999999998</v>
      </c>
    </row>
    <row r="1326" spans="1:6" x14ac:dyDescent="0.25">
      <c r="A1326" t="s">
        <v>98</v>
      </c>
      <c r="B1326" s="6">
        <v>45678</v>
      </c>
      <c r="C1326" t="s">
        <v>201</v>
      </c>
      <c r="D1326" t="s">
        <v>10</v>
      </c>
      <c r="E1326">
        <v>22946</v>
      </c>
      <c r="F1326">
        <v>0</v>
      </c>
    </row>
    <row r="1327" spans="1:6" x14ac:dyDescent="0.25">
      <c r="A1327" t="s">
        <v>98</v>
      </c>
      <c r="B1327" s="6">
        <v>45674</v>
      </c>
      <c r="C1327" t="s">
        <v>201</v>
      </c>
      <c r="D1327" t="s">
        <v>10</v>
      </c>
      <c r="E1327">
        <v>193456254</v>
      </c>
      <c r="F1327">
        <v>0</v>
      </c>
    </row>
    <row r="1328" spans="1:6" x14ac:dyDescent="0.25">
      <c r="A1328" t="s">
        <v>98</v>
      </c>
      <c r="B1328" s="6">
        <v>45674</v>
      </c>
      <c r="C1328" t="s">
        <v>201</v>
      </c>
      <c r="D1328" t="s">
        <v>180</v>
      </c>
      <c r="E1328">
        <v>327746</v>
      </c>
      <c r="F1328">
        <v>622.41499999999996</v>
      </c>
    </row>
    <row r="1329" spans="1:6" x14ac:dyDescent="0.25">
      <c r="A1329" t="s">
        <v>98</v>
      </c>
      <c r="B1329" s="6">
        <v>45674</v>
      </c>
      <c r="C1329" t="s">
        <v>201</v>
      </c>
      <c r="D1329" t="s">
        <v>180</v>
      </c>
      <c r="E1329">
        <v>327938</v>
      </c>
      <c r="F1329">
        <v>620.02769999999998</v>
      </c>
    </row>
    <row r="1330" spans="1:6" x14ac:dyDescent="0.25">
      <c r="A1330" t="s">
        <v>98</v>
      </c>
      <c r="B1330" s="6">
        <v>45674</v>
      </c>
      <c r="C1330" t="s">
        <v>201</v>
      </c>
      <c r="D1330" t="s">
        <v>180</v>
      </c>
      <c r="E1330">
        <v>328270</v>
      </c>
      <c r="F1330">
        <v>618.14300000000003</v>
      </c>
    </row>
    <row r="1331" spans="1:6" x14ac:dyDescent="0.25">
      <c r="A1331" t="s">
        <v>98</v>
      </c>
      <c r="B1331" s="6">
        <v>45674</v>
      </c>
      <c r="C1331" t="s">
        <v>201</v>
      </c>
      <c r="D1331" t="s">
        <v>180</v>
      </c>
      <c r="E1331">
        <v>328862</v>
      </c>
      <c r="F1331">
        <v>616.87990000000002</v>
      </c>
    </row>
    <row r="1332" spans="1:6" x14ac:dyDescent="0.25">
      <c r="A1332" t="s">
        <v>98</v>
      </c>
      <c r="B1332" s="6">
        <v>45674</v>
      </c>
      <c r="C1332" t="s">
        <v>201</v>
      </c>
      <c r="D1332" t="s">
        <v>180</v>
      </c>
      <c r="E1332">
        <v>329143</v>
      </c>
      <c r="F1332">
        <v>615.59550000000002</v>
      </c>
    </row>
    <row r="1333" spans="1:6" x14ac:dyDescent="0.25">
      <c r="A1333" t="s">
        <v>98</v>
      </c>
      <c r="B1333" s="6">
        <v>45674</v>
      </c>
      <c r="C1333" t="s">
        <v>201</v>
      </c>
      <c r="D1333" t="s">
        <v>180</v>
      </c>
      <c r="E1333">
        <v>330766</v>
      </c>
      <c r="F1333">
        <v>614.79390000000001</v>
      </c>
    </row>
    <row r="1334" spans="1:6" x14ac:dyDescent="0.25">
      <c r="A1334" t="s">
        <v>98</v>
      </c>
      <c r="B1334" s="6">
        <v>45674</v>
      </c>
      <c r="C1334" t="s">
        <v>201</v>
      </c>
      <c r="D1334" t="s">
        <v>180</v>
      </c>
      <c r="E1334">
        <v>332661</v>
      </c>
      <c r="F1334">
        <v>613.7269</v>
      </c>
    </row>
    <row r="1335" spans="1:6" x14ac:dyDescent="0.25">
      <c r="A1335" t="s">
        <v>98</v>
      </c>
      <c r="B1335" s="6">
        <v>45674</v>
      </c>
      <c r="C1335" t="s">
        <v>201</v>
      </c>
      <c r="D1335" t="s">
        <v>180</v>
      </c>
      <c r="E1335">
        <v>336982</v>
      </c>
      <c r="F1335">
        <v>612.6499</v>
      </c>
    </row>
    <row r="1336" spans="1:6" x14ac:dyDescent="0.25">
      <c r="A1336" t="s">
        <v>98</v>
      </c>
      <c r="B1336" s="6">
        <v>45674</v>
      </c>
      <c r="C1336" t="s">
        <v>201</v>
      </c>
      <c r="D1336" t="s">
        <v>180</v>
      </c>
      <c r="E1336">
        <v>338633</v>
      </c>
      <c r="F1336">
        <v>611.81460000000004</v>
      </c>
    </row>
    <row r="1337" spans="1:6" x14ac:dyDescent="0.25">
      <c r="A1337" t="s">
        <v>98</v>
      </c>
      <c r="B1337" s="6">
        <v>45674</v>
      </c>
      <c r="C1337" t="s">
        <v>201</v>
      </c>
      <c r="D1337" t="s">
        <v>180</v>
      </c>
      <c r="E1337">
        <v>339330</v>
      </c>
      <c r="F1337">
        <v>610.12</v>
      </c>
    </row>
    <row r="1338" spans="1:6" x14ac:dyDescent="0.25">
      <c r="A1338" t="s">
        <v>98</v>
      </c>
      <c r="B1338" s="6">
        <v>45674</v>
      </c>
      <c r="C1338" t="s">
        <v>201</v>
      </c>
      <c r="D1338" t="s">
        <v>180</v>
      </c>
      <c r="E1338">
        <v>339530</v>
      </c>
      <c r="F1338">
        <v>608.91</v>
      </c>
    </row>
    <row r="1339" spans="1:6" x14ac:dyDescent="0.25">
      <c r="A1339" t="s">
        <v>98</v>
      </c>
      <c r="B1339" s="6">
        <v>45674</v>
      </c>
      <c r="C1339" t="s">
        <v>201</v>
      </c>
      <c r="D1339" t="s">
        <v>180</v>
      </c>
      <c r="E1339">
        <v>340125</v>
      </c>
      <c r="F1339">
        <v>607.4307</v>
      </c>
    </row>
    <row r="1340" spans="1:6" x14ac:dyDescent="0.25">
      <c r="A1340" t="s">
        <v>98</v>
      </c>
      <c r="B1340" s="6">
        <v>45674</v>
      </c>
      <c r="C1340" t="s">
        <v>201</v>
      </c>
      <c r="D1340" t="s">
        <v>180</v>
      </c>
      <c r="E1340">
        <v>340621</v>
      </c>
      <c r="F1340">
        <v>604.99</v>
      </c>
    </row>
    <row r="1341" spans="1:6" x14ac:dyDescent="0.25">
      <c r="A1341" t="s">
        <v>98</v>
      </c>
      <c r="B1341" s="6">
        <v>45674</v>
      </c>
      <c r="C1341" t="s">
        <v>201</v>
      </c>
      <c r="D1341" t="s">
        <v>180</v>
      </c>
      <c r="E1341">
        <v>0</v>
      </c>
      <c r="F1341">
        <v>621.82000000000005</v>
      </c>
    </row>
    <row r="1342" spans="1:6" x14ac:dyDescent="0.25">
      <c r="A1342" t="s">
        <v>98</v>
      </c>
      <c r="B1342" s="6">
        <v>45674</v>
      </c>
      <c r="C1342" t="s">
        <v>201</v>
      </c>
      <c r="D1342" t="s">
        <v>180</v>
      </c>
      <c r="E1342">
        <v>300</v>
      </c>
      <c r="F1342">
        <v>620.03269999999998</v>
      </c>
    </row>
    <row r="1343" spans="1:6" x14ac:dyDescent="0.25">
      <c r="A1343" t="s">
        <v>98</v>
      </c>
      <c r="B1343" s="6">
        <v>45674</v>
      </c>
      <c r="C1343" t="s">
        <v>201</v>
      </c>
      <c r="D1343" t="s">
        <v>180</v>
      </c>
      <c r="E1343">
        <v>675</v>
      </c>
      <c r="F1343">
        <v>618.93499999999995</v>
      </c>
    </row>
    <row r="1344" spans="1:6" x14ac:dyDescent="0.25">
      <c r="A1344" t="s">
        <v>98</v>
      </c>
      <c r="B1344" s="6">
        <v>45674</v>
      </c>
      <c r="C1344" t="s">
        <v>201</v>
      </c>
      <c r="D1344" t="s">
        <v>180</v>
      </c>
      <c r="E1344">
        <v>1455</v>
      </c>
      <c r="F1344">
        <v>617.38430000000005</v>
      </c>
    </row>
    <row r="1345" spans="1:6" x14ac:dyDescent="0.25">
      <c r="A1345" t="s">
        <v>98</v>
      </c>
      <c r="B1345" s="6">
        <v>45674</v>
      </c>
      <c r="C1345" t="s">
        <v>201</v>
      </c>
      <c r="D1345" t="s">
        <v>180</v>
      </c>
      <c r="E1345">
        <v>2135</v>
      </c>
      <c r="F1345">
        <v>616.51210000000003</v>
      </c>
    </row>
    <row r="1346" spans="1:6" x14ac:dyDescent="0.25">
      <c r="A1346" t="s">
        <v>98</v>
      </c>
      <c r="B1346" s="6">
        <v>45674</v>
      </c>
      <c r="C1346" t="s">
        <v>201</v>
      </c>
      <c r="D1346" t="s">
        <v>180</v>
      </c>
      <c r="E1346">
        <v>3038</v>
      </c>
      <c r="F1346">
        <v>615.47699999999998</v>
      </c>
    </row>
    <row r="1347" spans="1:6" x14ac:dyDescent="0.25">
      <c r="A1347" t="s">
        <v>98</v>
      </c>
      <c r="B1347" s="6">
        <v>45674</v>
      </c>
      <c r="C1347" t="s">
        <v>201</v>
      </c>
      <c r="D1347" t="s">
        <v>180</v>
      </c>
      <c r="E1347">
        <v>5606</v>
      </c>
      <c r="F1347">
        <v>614.49220000000003</v>
      </c>
    </row>
    <row r="1348" spans="1:6" x14ac:dyDescent="0.25">
      <c r="A1348" t="s">
        <v>98</v>
      </c>
      <c r="B1348" s="6">
        <v>45674</v>
      </c>
      <c r="C1348" t="s">
        <v>201</v>
      </c>
      <c r="D1348" t="s">
        <v>180</v>
      </c>
      <c r="E1348">
        <v>10162</v>
      </c>
      <c r="F1348">
        <v>613.56769999999995</v>
      </c>
    </row>
    <row r="1349" spans="1:6" x14ac:dyDescent="0.25">
      <c r="A1349" t="s">
        <v>98</v>
      </c>
      <c r="B1349" s="6">
        <v>45674</v>
      </c>
      <c r="C1349" t="s">
        <v>201</v>
      </c>
      <c r="D1349" t="s">
        <v>180</v>
      </c>
      <c r="E1349">
        <v>17317</v>
      </c>
      <c r="F1349">
        <v>612.42330000000004</v>
      </c>
    </row>
    <row r="1350" spans="1:6" x14ac:dyDescent="0.25">
      <c r="A1350" t="s">
        <v>98</v>
      </c>
      <c r="B1350" s="6">
        <v>45674</v>
      </c>
      <c r="C1350" t="s">
        <v>201</v>
      </c>
      <c r="D1350" t="s">
        <v>180</v>
      </c>
      <c r="E1350">
        <v>19735</v>
      </c>
      <c r="F1350">
        <v>611.49580000000003</v>
      </c>
    </row>
    <row r="1351" spans="1:6" x14ac:dyDescent="0.25">
      <c r="A1351" t="s">
        <v>98</v>
      </c>
      <c r="B1351" s="6">
        <v>45674</v>
      </c>
      <c r="C1351" t="s">
        <v>201</v>
      </c>
      <c r="D1351" t="s">
        <v>180</v>
      </c>
      <c r="E1351">
        <v>20547</v>
      </c>
      <c r="F1351">
        <v>609.99490000000003</v>
      </c>
    </row>
    <row r="1352" spans="1:6" x14ac:dyDescent="0.25">
      <c r="A1352" t="s">
        <v>98</v>
      </c>
      <c r="B1352" s="6">
        <v>45674</v>
      </c>
      <c r="C1352" t="s">
        <v>201</v>
      </c>
      <c r="D1352" t="s">
        <v>180</v>
      </c>
      <c r="E1352">
        <v>20937</v>
      </c>
      <c r="F1352">
        <v>609.05930000000001</v>
      </c>
    </row>
    <row r="1353" spans="1:6" x14ac:dyDescent="0.25">
      <c r="A1353" t="s">
        <v>98</v>
      </c>
      <c r="B1353" s="6">
        <v>45674</v>
      </c>
      <c r="C1353" t="s">
        <v>201</v>
      </c>
      <c r="D1353" t="s">
        <v>180</v>
      </c>
      <c r="E1353">
        <v>21953</v>
      </c>
      <c r="F1353">
        <v>607.92819999999995</v>
      </c>
    </row>
    <row r="1354" spans="1:6" x14ac:dyDescent="0.25">
      <c r="A1354" t="s">
        <v>98</v>
      </c>
      <c r="B1354" s="6">
        <v>45674</v>
      </c>
      <c r="C1354" t="s">
        <v>201</v>
      </c>
      <c r="D1354" t="s">
        <v>180</v>
      </c>
      <c r="E1354">
        <v>22546</v>
      </c>
      <c r="F1354">
        <v>606.16499999999996</v>
      </c>
    </row>
    <row r="1355" spans="1:6" x14ac:dyDescent="0.25">
      <c r="A1355" t="s">
        <v>98</v>
      </c>
      <c r="B1355" s="6">
        <v>45674</v>
      </c>
      <c r="C1355" t="s">
        <v>201</v>
      </c>
      <c r="D1355" t="s">
        <v>180</v>
      </c>
      <c r="E1355">
        <v>22646</v>
      </c>
      <c r="F1355">
        <v>605.31500000000005</v>
      </c>
    </row>
    <row r="1356" spans="1:6" x14ac:dyDescent="0.25">
      <c r="A1356" t="s">
        <v>98</v>
      </c>
      <c r="B1356" s="6">
        <v>45674</v>
      </c>
      <c r="C1356" t="s">
        <v>201</v>
      </c>
      <c r="D1356" t="s">
        <v>180</v>
      </c>
      <c r="E1356">
        <v>22846</v>
      </c>
      <c r="F1356">
        <v>603.85</v>
      </c>
    </row>
    <row r="1357" spans="1:6" x14ac:dyDescent="0.25">
      <c r="A1357" t="s">
        <v>98</v>
      </c>
      <c r="B1357" s="6">
        <v>45674</v>
      </c>
      <c r="C1357" t="s">
        <v>201</v>
      </c>
      <c r="D1357" t="s">
        <v>10</v>
      </c>
      <c r="E1357">
        <v>22946</v>
      </c>
      <c r="F1357">
        <v>0</v>
      </c>
    </row>
    <row r="1358" spans="1:6" x14ac:dyDescent="0.25">
      <c r="A1358" t="s">
        <v>98</v>
      </c>
      <c r="B1358" s="6">
        <v>45673</v>
      </c>
      <c r="C1358" t="s">
        <v>201</v>
      </c>
      <c r="D1358" t="s">
        <v>10</v>
      </c>
      <c r="E1358">
        <v>193479200</v>
      </c>
      <c r="F1358">
        <v>0</v>
      </c>
    </row>
    <row r="1359" spans="1:6" x14ac:dyDescent="0.25">
      <c r="A1359" t="s">
        <v>98</v>
      </c>
      <c r="B1359" s="6">
        <v>45673</v>
      </c>
      <c r="C1359" t="s">
        <v>201</v>
      </c>
      <c r="D1359" t="s">
        <v>180</v>
      </c>
      <c r="E1359">
        <v>340721</v>
      </c>
      <c r="F1359">
        <v>615.63890000000004</v>
      </c>
    </row>
    <row r="1360" spans="1:6" x14ac:dyDescent="0.25">
      <c r="A1360" t="s">
        <v>98</v>
      </c>
      <c r="B1360" s="6">
        <v>45673</v>
      </c>
      <c r="C1360" t="s">
        <v>201</v>
      </c>
      <c r="D1360" t="s">
        <v>180</v>
      </c>
      <c r="E1360">
        <v>341453</v>
      </c>
      <c r="F1360">
        <v>614.51220000000001</v>
      </c>
    </row>
    <row r="1361" spans="1:6" x14ac:dyDescent="0.25">
      <c r="A1361" t="s">
        <v>98</v>
      </c>
      <c r="B1361" s="6">
        <v>45673</v>
      </c>
      <c r="C1361" t="s">
        <v>201</v>
      </c>
      <c r="D1361" t="s">
        <v>180</v>
      </c>
      <c r="E1361">
        <v>343703</v>
      </c>
      <c r="F1361">
        <v>613.7056</v>
      </c>
    </row>
    <row r="1362" spans="1:6" x14ac:dyDescent="0.25">
      <c r="A1362" t="s">
        <v>98</v>
      </c>
      <c r="B1362" s="6">
        <v>45673</v>
      </c>
      <c r="C1362" t="s">
        <v>201</v>
      </c>
      <c r="D1362" t="s">
        <v>180</v>
      </c>
      <c r="E1362">
        <v>346745</v>
      </c>
      <c r="F1362">
        <v>612.49090000000001</v>
      </c>
    </row>
    <row r="1363" spans="1:6" x14ac:dyDescent="0.25">
      <c r="A1363" t="s">
        <v>98</v>
      </c>
      <c r="B1363" s="6">
        <v>45673</v>
      </c>
      <c r="C1363" t="s">
        <v>201</v>
      </c>
      <c r="D1363" t="s">
        <v>180</v>
      </c>
      <c r="E1363">
        <v>349505</v>
      </c>
      <c r="F1363">
        <v>611.57349999999997</v>
      </c>
    </row>
    <row r="1364" spans="1:6" x14ac:dyDescent="0.25">
      <c r="A1364" t="s">
        <v>98</v>
      </c>
      <c r="B1364" s="6">
        <v>45673</v>
      </c>
      <c r="C1364" t="s">
        <v>201</v>
      </c>
      <c r="D1364" t="s">
        <v>180</v>
      </c>
      <c r="E1364">
        <v>352899</v>
      </c>
      <c r="F1364">
        <v>610.57209999999998</v>
      </c>
    </row>
    <row r="1365" spans="1:6" x14ac:dyDescent="0.25">
      <c r="A1365" t="s">
        <v>98</v>
      </c>
      <c r="B1365" s="6">
        <v>45673</v>
      </c>
      <c r="C1365" t="s">
        <v>201</v>
      </c>
      <c r="D1365" t="s">
        <v>180</v>
      </c>
      <c r="E1365">
        <v>0</v>
      </c>
      <c r="F1365">
        <v>615.54309999999998</v>
      </c>
    </row>
    <row r="1366" spans="1:6" x14ac:dyDescent="0.25">
      <c r="A1366" t="s">
        <v>98</v>
      </c>
      <c r="B1366" s="6">
        <v>45673</v>
      </c>
      <c r="C1366" t="s">
        <v>201</v>
      </c>
      <c r="D1366" t="s">
        <v>180</v>
      </c>
      <c r="E1366">
        <v>1295</v>
      </c>
      <c r="F1366">
        <v>614.54449999999997</v>
      </c>
    </row>
    <row r="1367" spans="1:6" x14ac:dyDescent="0.25">
      <c r="A1367" t="s">
        <v>98</v>
      </c>
      <c r="B1367" s="6">
        <v>45673</v>
      </c>
      <c r="C1367" t="s">
        <v>201</v>
      </c>
      <c r="D1367" t="s">
        <v>180</v>
      </c>
      <c r="E1367">
        <v>5534</v>
      </c>
      <c r="F1367">
        <v>613.56020000000001</v>
      </c>
    </row>
    <row r="1368" spans="1:6" x14ac:dyDescent="0.25">
      <c r="A1368" t="s">
        <v>98</v>
      </c>
      <c r="B1368" s="6">
        <v>45673</v>
      </c>
      <c r="C1368" t="s">
        <v>201</v>
      </c>
      <c r="D1368" t="s">
        <v>180</v>
      </c>
      <c r="E1368">
        <v>10771</v>
      </c>
      <c r="F1368">
        <v>612.44299999999998</v>
      </c>
    </row>
    <row r="1369" spans="1:6" x14ac:dyDescent="0.25">
      <c r="A1369" t="s">
        <v>98</v>
      </c>
      <c r="B1369" s="6">
        <v>45673</v>
      </c>
      <c r="C1369" t="s">
        <v>201</v>
      </c>
      <c r="D1369" t="s">
        <v>180</v>
      </c>
      <c r="E1369">
        <v>16001</v>
      </c>
      <c r="F1369">
        <v>611.51639999999998</v>
      </c>
    </row>
    <row r="1370" spans="1:6" x14ac:dyDescent="0.25">
      <c r="A1370" t="s">
        <v>98</v>
      </c>
      <c r="B1370" s="6">
        <v>45673</v>
      </c>
      <c r="C1370" t="s">
        <v>201</v>
      </c>
      <c r="D1370" t="s">
        <v>180</v>
      </c>
      <c r="E1370">
        <v>21425</v>
      </c>
      <c r="F1370">
        <v>610.62819999999999</v>
      </c>
    </row>
    <row r="1371" spans="1:6" x14ac:dyDescent="0.25">
      <c r="A1371" t="s">
        <v>98</v>
      </c>
      <c r="B1371" s="6">
        <v>45673</v>
      </c>
      <c r="C1371" t="s">
        <v>201</v>
      </c>
      <c r="D1371" t="s">
        <v>10</v>
      </c>
      <c r="E1371">
        <v>22946</v>
      </c>
      <c r="F1371">
        <v>0</v>
      </c>
    </row>
    <row r="1372" spans="1:6" x14ac:dyDescent="0.25">
      <c r="A1372" t="s">
        <v>98</v>
      </c>
      <c r="B1372" s="6">
        <v>45672</v>
      </c>
      <c r="C1372" t="s">
        <v>207</v>
      </c>
      <c r="D1372" t="s">
        <v>8</v>
      </c>
      <c r="E1372">
        <v>1752</v>
      </c>
      <c r="F1372">
        <v>0</v>
      </c>
    </row>
    <row r="1373" spans="1:6" x14ac:dyDescent="0.25">
      <c r="A1373" t="s">
        <v>98</v>
      </c>
      <c r="B1373" s="6">
        <v>45672</v>
      </c>
      <c r="C1373" t="s">
        <v>207</v>
      </c>
      <c r="D1373" t="s">
        <v>8</v>
      </c>
      <c r="E1373">
        <v>247</v>
      </c>
      <c r="F1373">
        <v>0</v>
      </c>
    </row>
    <row r="1374" spans="1:6" x14ac:dyDescent="0.25">
      <c r="A1374" t="s">
        <v>98</v>
      </c>
      <c r="B1374" s="6">
        <v>45672</v>
      </c>
      <c r="C1374" t="s">
        <v>208</v>
      </c>
      <c r="D1374" t="s">
        <v>8</v>
      </c>
      <c r="E1374">
        <v>1752</v>
      </c>
      <c r="F1374">
        <v>0</v>
      </c>
    </row>
    <row r="1375" spans="1:6" x14ac:dyDescent="0.25">
      <c r="A1375" t="s">
        <v>98</v>
      </c>
      <c r="B1375" s="6">
        <v>45672</v>
      </c>
      <c r="C1375" t="s">
        <v>208</v>
      </c>
      <c r="D1375" t="s">
        <v>8</v>
      </c>
      <c r="E1375">
        <v>247</v>
      </c>
      <c r="F1375">
        <v>0</v>
      </c>
    </row>
    <row r="1376" spans="1:6" x14ac:dyDescent="0.25">
      <c r="A1376" t="s">
        <v>98</v>
      </c>
      <c r="B1376" s="6">
        <v>45672</v>
      </c>
      <c r="C1376" t="s">
        <v>209</v>
      </c>
      <c r="D1376" t="s">
        <v>8</v>
      </c>
      <c r="E1376">
        <v>1752</v>
      </c>
      <c r="F1376">
        <v>0</v>
      </c>
    </row>
    <row r="1377" spans="1:6" x14ac:dyDescent="0.25">
      <c r="A1377" t="s">
        <v>98</v>
      </c>
      <c r="B1377" s="6">
        <v>45672</v>
      </c>
      <c r="C1377" t="s">
        <v>209</v>
      </c>
      <c r="D1377" t="s">
        <v>8</v>
      </c>
      <c r="E1377">
        <v>247</v>
      </c>
      <c r="F1377">
        <v>0</v>
      </c>
    </row>
    <row r="1378" spans="1:6" x14ac:dyDescent="0.25">
      <c r="A1378" t="s">
        <v>98</v>
      </c>
      <c r="B1378" s="6">
        <v>45672</v>
      </c>
      <c r="C1378" t="s">
        <v>201</v>
      </c>
      <c r="D1378" t="s">
        <v>10</v>
      </c>
      <c r="E1378">
        <v>193502146</v>
      </c>
      <c r="F1378">
        <v>0</v>
      </c>
    </row>
    <row r="1379" spans="1:6" x14ac:dyDescent="0.25">
      <c r="A1379" t="s">
        <v>98</v>
      </c>
      <c r="B1379" s="6">
        <v>45672</v>
      </c>
      <c r="C1379" t="s">
        <v>201</v>
      </c>
      <c r="D1379" t="s">
        <v>180</v>
      </c>
      <c r="E1379">
        <v>353696</v>
      </c>
      <c r="F1379">
        <v>621.1798</v>
      </c>
    </row>
    <row r="1380" spans="1:6" x14ac:dyDescent="0.25">
      <c r="A1380" t="s">
        <v>98</v>
      </c>
      <c r="B1380" s="6">
        <v>45672</v>
      </c>
      <c r="C1380" t="s">
        <v>201</v>
      </c>
      <c r="D1380" t="s">
        <v>180</v>
      </c>
      <c r="E1380">
        <v>354588</v>
      </c>
      <c r="F1380">
        <v>620.41539999999998</v>
      </c>
    </row>
    <row r="1381" spans="1:6" x14ac:dyDescent="0.25">
      <c r="A1381" t="s">
        <v>98</v>
      </c>
      <c r="B1381" s="6">
        <v>45672</v>
      </c>
      <c r="C1381" t="s">
        <v>201</v>
      </c>
      <c r="D1381" t="s">
        <v>180</v>
      </c>
      <c r="E1381">
        <v>355906</v>
      </c>
      <c r="F1381">
        <v>619.27380000000005</v>
      </c>
    </row>
    <row r="1382" spans="1:6" x14ac:dyDescent="0.25">
      <c r="A1382" t="s">
        <v>98</v>
      </c>
      <c r="B1382" s="6">
        <v>45672</v>
      </c>
      <c r="C1382" t="s">
        <v>201</v>
      </c>
      <c r="D1382" t="s">
        <v>180</v>
      </c>
      <c r="E1382">
        <v>357859</v>
      </c>
      <c r="F1382">
        <v>617.93920000000003</v>
      </c>
    </row>
    <row r="1383" spans="1:6" x14ac:dyDescent="0.25">
      <c r="A1383" t="s">
        <v>98</v>
      </c>
      <c r="B1383" s="6">
        <v>45672</v>
      </c>
      <c r="C1383" t="s">
        <v>201</v>
      </c>
      <c r="D1383" t="s">
        <v>180</v>
      </c>
      <c r="E1383">
        <v>358055</v>
      </c>
      <c r="F1383">
        <v>617.12689999999998</v>
      </c>
    </row>
    <row r="1384" spans="1:6" x14ac:dyDescent="0.25">
      <c r="A1384" t="s">
        <v>98</v>
      </c>
      <c r="B1384" s="6">
        <v>45672</v>
      </c>
      <c r="C1384" t="s">
        <v>201</v>
      </c>
      <c r="D1384" t="s">
        <v>180</v>
      </c>
      <c r="E1384">
        <v>359806</v>
      </c>
      <c r="F1384">
        <v>616.0598</v>
      </c>
    </row>
    <row r="1385" spans="1:6" x14ac:dyDescent="0.25">
      <c r="A1385" t="s">
        <v>98</v>
      </c>
      <c r="B1385" s="6">
        <v>45672</v>
      </c>
      <c r="C1385" t="s">
        <v>201</v>
      </c>
      <c r="D1385" t="s">
        <v>180</v>
      </c>
      <c r="E1385">
        <v>361705</v>
      </c>
      <c r="F1385">
        <v>615.10739999999998</v>
      </c>
    </row>
    <row r="1386" spans="1:6" x14ac:dyDescent="0.25">
      <c r="A1386" t="s">
        <v>98</v>
      </c>
      <c r="B1386" s="6">
        <v>45672</v>
      </c>
      <c r="C1386" t="s">
        <v>201</v>
      </c>
      <c r="D1386" t="s">
        <v>180</v>
      </c>
      <c r="E1386">
        <v>362994</v>
      </c>
      <c r="F1386">
        <v>614.04859999999996</v>
      </c>
    </row>
    <row r="1387" spans="1:6" x14ac:dyDescent="0.25">
      <c r="A1387" t="s">
        <v>98</v>
      </c>
      <c r="B1387" s="6">
        <v>45672</v>
      </c>
      <c r="C1387" t="s">
        <v>201</v>
      </c>
      <c r="D1387" t="s">
        <v>180</v>
      </c>
      <c r="E1387">
        <v>364228</v>
      </c>
      <c r="F1387">
        <v>612.91380000000004</v>
      </c>
    </row>
    <row r="1388" spans="1:6" x14ac:dyDescent="0.25">
      <c r="A1388" t="s">
        <v>98</v>
      </c>
      <c r="B1388" s="6">
        <v>45672</v>
      </c>
      <c r="C1388" t="s">
        <v>201</v>
      </c>
      <c r="D1388" t="s">
        <v>180</v>
      </c>
      <c r="E1388">
        <v>364620</v>
      </c>
      <c r="F1388">
        <v>611.6001</v>
      </c>
    </row>
    <row r="1389" spans="1:6" x14ac:dyDescent="0.25">
      <c r="A1389" t="s">
        <v>98</v>
      </c>
      <c r="B1389" s="6">
        <v>45672</v>
      </c>
      <c r="C1389" t="s">
        <v>201</v>
      </c>
      <c r="D1389" t="s">
        <v>180</v>
      </c>
      <c r="E1389">
        <v>365325</v>
      </c>
      <c r="F1389">
        <v>610.09259999999995</v>
      </c>
    </row>
    <row r="1390" spans="1:6" x14ac:dyDescent="0.25">
      <c r="A1390" t="s">
        <v>98</v>
      </c>
      <c r="B1390" s="6">
        <v>45672</v>
      </c>
      <c r="C1390" t="s">
        <v>201</v>
      </c>
      <c r="D1390" t="s">
        <v>180</v>
      </c>
      <c r="E1390">
        <v>365621</v>
      </c>
      <c r="F1390">
        <v>609.01149999999996</v>
      </c>
    </row>
    <row r="1391" spans="1:6" x14ac:dyDescent="0.25">
      <c r="A1391" t="s">
        <v>98</v>
      </c>
      <c r="B1391" s="6">
        <v>45672</v>
      </c>
      <c r="C1391" t="s">
        <v>201</v>
      </c>
      <c r="D1391" t="s">
        <v>180</v>
      </c>
      <c r="E1391">
        <v>366349</v>
      </c>
      <c r="F1391">
        <v>607.46669999999995</v>
      </c>
    </row>
    <row r="1392" spans="1:6" x14ac:dyDescent="0.25">
      <c r="A1392" t="s">
        <v>98</v>
      </c>
      <c r="B1392" s="6">
        <v>45672</v>
      </c>
      <c r="C1392" t="s">
        <v>201</v>
      </c>
      <c r="D1392" t="s">
        <v>180</v>
      </c>
      <c r="E1392">
        <v>0</v>
      </c>
      <c r="F1392">
        <v>622.21</v>
      </c>
    </row>
    <row r="1393" spans="1:6" x14ac:dyDescent="0.25">
      <c r="A1393" t="s">
        <v>98</v>
      </c>
      <c r="B1393" s="6">
        <v>45672</v>
      </c>
      <c r="C1393" t="s">
        <v>201</v>
      </c>
      <c r="D1393" t="s">
        <v>180</v>
      </c>
      <c r="E1393">
        <v>180</v>
      </c>
      <c r="F1393">
        <v>621.07799999999997</v>
      </c>
    </row>
    <row r="1394" spans="1:6" x14ac:dyDescent="0.25">
      <c r="A1394" t="s">
        <v>98</v>
      </c>
      <c r="B1394" s="6">
        <v>45672</v>
      </c>
      <c r="C1394" t="s">
        <v>201</v>
      </c>
      <c r="D1394" t="s">
        <v>180</v>
      </c>
      <c r="E1394">
        <v>2658</v>
      </c>
      <c r="F1394">
        <v>619.91390000000001</v>
      </c>
    </row>
    <row r="1395" spans="1:6" x14ac:dyDescent="0.25">
      <c r="A1395" t="s">
        <v>98</v>
      </c>
      <c r="B1395" s="6">
        <v>45672</v>
      </c>
      <c r="C1395" t="s">
        <v>201</v>
      </c>
      <c r="D1395" t="s">
        <v>180</v>
      </c>
      <c r="E1395">
        <v>5126</v>
      </c>
      <c r="F1395">
        <v>619.13850000000002</v>
      </c>
    </row>
    <row r="1396" spans="1:6" x14ac:dyDescent="0.25">
      <c r="A1396" t="s">
        <v>98</v>
      </c>
      <c r="B1396" s="6">
        <v>45672</v>
      </c>
      <c r="C1396" t="s">
        <v>201</v>
      </c>
      <c r="D1396" t="s">
        <v>180</v>
      </c>
      <c r="E1396">
        <v>7257</v>
      </c>
      <c r="F1396">
        <v>617.8655</v>
      </c>
    </row>
    <row r="1397" spans="1:6" x14ac:dyDescent="0.25">
      <c r="A1397" t="s">
        <v>98</v>
      </c>
      <c r="B1397" s="6">
        <v>45672</v>
      </c>
      <c r="C1397" t="s">
        <v>201</v>
      </c>
      <c r="D1397" t="s">
        <v>180</v>
      </c>
      <c r="E1397">
        <v>7946</v>
      </c>
      <c r="F1397">
        <v>616.95770000000005</v>
      </c>
    </row>
    <row r="1398" spans="1:6" x14ac:dyDescent="0.25">
      <c r="A1398" t="s">
        <v>98</v>
      </c>
      <c r="B1398" s="6">
        <v>45672</v>
      </c>
      <c r="C1398" t="s">
        <v>201</v>
      </c>
      <c r="D1398" t="s">
        <v>180</v>
      </c>
      <c r="E1398">
        <v>11705</v>
      </c>
      <c r="F1398">
        <v>615.87429999999995</v>
      </c>
    </row>
    <row r="1399" spans="1:6" x14ac:dyDescent="0.25">
      <c r="A1399" t="s">
        <v>98</v>
      </c>
      <c r="B1399" s="6">
        <v>45672</v>
      </c>
      <c r="C1399" t="s">
        <v>201</v>
      </c>
      <c r="D1399" t="s">
        <v>180</v>
      </c>
      <c r="E1399">
        <v>14291</v>
      </c>
      <c r="F1399">
        <v>614.97469999999998</v>
      </c>
    </row>
    <row r="1400" spans="1:6" x14ac:dyDescent="0.25">
      <c r="A1400" t="s">
        <v>98</v>
      </c>
      <c r="B1400" s="6">
        <v>45672</v>
      </c>
      <c r="C1400" t="s">
        <v>201</v>
      </c>
      <c r="D1400" t="s">
        <v>180</v>
      </c>
      <c r="E1400">
        <v>16708</v>
      </c>
      <c r="F1400">
        <v>613.91459999999995</v>
      </c>
    </row>
    <row r="1401" spans="1:6" x14ac:dyDescent="0.25">
      <c r="A1401" t="s">
        <v>98</v>
      </c>
      <c r="B1401" s="6">
        <v>45672</v>
      </c>
      <c r="C1401" t="s">
        <v>201</v>
      </c>
      <c r="D1401" t="s">
        <v>180</v>
      </c>
      <c r="E1401">
        <v>18841</v>
      </c>
      <c r="F1401">
        <v>612.61220000000003</v>
      </c>
    </row>
    <row r="1402" spans="1:6" x14ac:dyDescent="0.25">
      <c r="A1402" t="s">
        <v>98</v>
      </c>
      <c r="B1402" s="6">
        <v>45672</v>
      </c>
      <c r="C1402" t="s">
        <v>201</v>
      </c>
      <c r="D1402" t="s">
        <v>180</v>
      </c>
      <c r="E1402">
        <v>19540</v>
      </c>
      <c r="F1402">
        <v>611.46969999999999</v>
      </c>
    </row>
    <row r="1403" spans="1:6" x14ac:dyDescent="0.25">
      <c r="A1403" t="s">
        <v>98</v>
      </c>
      <c r="B1403" s="6">
        <v>45672</v>
      </c>
      <c r="C1403" t="s">
        <v>201</v>
      </c>
      <c r="D1403" t="s">
        <v>180</v>
      </c>
      <c r="E1403">
        <v>20610</v>
      </c>
      <c r="F1403">
        <v>610.34339999999997</v>
      </c>
    </row>
    <row r="1404" spans="1:6" x14ac:dyDescent="0.25">
      <c r="A1404" t="s">
        <v>98</v>
      </c>
      <c r="B1404" s="6">
        <v>45672</v>
      </c>
      <c r="C1404" t="s">
        <v>201</v>
      </c>
      <c r="D1404" t="s">
        <v>180</v>
      </c>
      <c r="E1404">
        <v>20800</v>
      </c>
      <c r="F1404">
        <v>609.36890000000005</v>
      </c>
    </row>
    <row r="1405" spans="1:6" x14ac:dyDescent="0.25">
      <c r="A1405" t="s">
        <v>98</v>
      </c>
      <c r="B1405" s="6">
        <v>45672</v>
      </c>
      <c r="C1405" t="s">
        <v>201</v>
      </c>
      <c r="D1405" t="s">
        <v>180</v>
      </c>
      <c r="E1405">
        <v>21765</v>
      </c>
      <c r="F1405">
        <v>608.45069999999998</v>
      </c>
    </row>
    <row r="1406" spans="1:6" x14ac:dyDescent="0.25">
      <c r="A1406" t="s">
        <v>98</v>
      </c>
      <c r="B1406" s="6">
        <v>45672</v>
      </c>
      <c r="C1406" t="s">
        <v>201</v>
      </c>
      <c r="D1406" t="s">
        <v>180</v>
      </c>
      <c r="E1406">
        <v>22556</v>
      </c>
      <c r="F1406">
        <v>607.58510000000001</v>
      </c>
    </row>
    <row r="1407" spans="1:6" x14ac:dyDescent="0.25">
      <c r="A1407" t="s">
        <v>98</v>
      </c>
      <c r="B1407" s="6">
        <v>45672</v>
      </c>
      <c r="C1407" t="s">
        <v>201</v>
      </c>
      <c r="D1407" t="s">
        <v>10</v>
      </c>
      <c r="E1407">
        <v>22946</v>
      </c>
      <c r="F1407">
        <v>0</v>
      </c>
    </row>
    <row r="1408" spans="1:6" x14ac:dyDescent="0.25">
      <c r="A1408" t="s">
        <v>98</v>
      </c>
      <c r="B1408" s="6">
        <v>45671</v>
      </c>
      <c r="C1408" t="s">
        <v>195</v>
      </c>
      <c r="D1408" t="s">
        <v>180</v>
      </c>
      <c r="E1408">
        <v>31105</v>
      </c>
      <c r="F1408">
        <v>604.54</v>
      </c>
    </row>
    <row r="1409" spans="1:6" x14ac:dyDescent="0.25">
      <c r="A1409" t="s">
        <v>98</v>
      </c>
      <c r="B1409" s="6">
        <v>45671</v>
      </c>
      <c r="C1409" t="s">
        <v>201</v>
      </c>
      <c r="D1409" t="s">
        <v>10</v>
      </c>
      <c r="E1409">
        <v>193525092</v>
      </c>
      <c r="F1409">
        <v>0</v>
      </c>
    </row>
    <row r="1410" spans="1:6" x14ac:dyDescent="0.25">
      <c r="A1410" t="s">
        <v>98</v>
      </c>
      <c r="B1410" s="6">
        <v>45671</v>
      </c>
      <c r="C1410" t="s">
        <v>201</v>
      </c>
      <c r="D1410" t="s">
        <v>180</v>
      </c>
      <c r="E1410">
        <v>366671</v>
      </c>
      <c r="F1410">
        <v>604.76</v>
      </c>
    </row>
    <row r="1411" spans="1:6" x14ac:dyDescent="0.25">
      <c r="A1411" t="s">
        <v>98</v>
      </c>
      <c r="B1411" s="6">
        <v>45671</v>
      </c>
      <c r="C1411" t="s">
        <v>201</v>
      </c>
      <c r="D1411" t="s">
        <v>180</v>
      </c>
      <c r="E1411">
        <v>366751</v>
      </c>
      <c r="F1411">
        <v>603.78</v>
      </c>
    </row>
    <row r="1412" spans="1:6" x14ac:dyDescent="0.25">
      <c r="A1412" t="s">
        <v>98</v>
      </c>
      <c r="B1412" s="6">
        <v>45671</v>
      </c>
      <c r="C1412" t="s">
        <v>201</v>
      </c>
      <c r="D1412" t="s">
        <v>180</v>
      </c>
      <c r="E1412">
        <v>366943</v>
      </c>
      <c r="F1412">
        <v>602.02880000000005</v>
      </c>
    </row>
    <row r="1413" spans="1:6" x14ac:dyDescent="0.25">
      <c r="A1413" t="s">
        <v>98</v>
      </c>
      <c r="B1413" s="6">
        <v>45671</v>
      </c>
      <c r="C1413" t="s">
        <v>201</v>
      </c>
      <c r="D1413" t="s">
        <v>180</v>
      </c>
      <c r="E1413">
        <v>367735</v>
      </c>
      <c r="F1413">
        <v>600.36080000000004</v>
      </c>
    </row>
    <row r="1414" spans="1:6" x14ac:dyDescent="0.25">
      <c r="A1414" t="s">
        <v>98</v>
      </c>
      <c r="B1414" s="6">
        <v>45671</v>
      </c>
      <c r="C1414" t="s">
        <v>201</v>
      </c>
      <c r="D1414" t="s">
        <v>180</v>
      </c>
      <c r="E1414">
        <v>0</v>
      </c>
      <c r="F1414">
        <v>604.7681</v>
      </c>
    </row>
    <row r="1415" spans="1:6" x14ac:dyDescent="0.25">
      <c r="A1415" t="s">
        <v>98</v>
      </c>
      <c r="B1415" s="6">
        <v>45671</v>
      </c>
      <c r="C1415" t="s">
        <v>201</v>
      </c>
      <c r="D1415" t="s">
        <v>180</v>
      </c>
      <c r="E1415">
        <v>84</v>
      </c>
      <c r="F1415">
        <v>603.50530000000003</v>
      </c>
    </row>
    <row r="1416" spans="1:6" x14ac:dyDescent="0.25">
      <c r="A1416" t="s">
        <v>98</v>
      </c>
      <c r="B1416" s="6">
        <v>45671</v>
      </c>
      <c r="C1416" t="s">
        <v>201</v>
      </c>
      <c r="D1416" t="s">
        <v>180</v>
      </c>
      <c r="E1416">
        <v>265</v>
      </c>
      <c r="F1416">
        <v>602.68389999999999</v>
      </c>
    </row>
    <row r="1417" spans="1:6" x14ac:dyDescent="0.25">
      <c r="A1417" t="s">
        <v>98</v>
      </c>
      <c r="B1417" s="6">
        <v>45671</v>
      </c>
      <c r="C1417" t="s">
        <v>201</v>
      </c>
      <c r="D1417" t="s">
        <v>180</v>
      </c>
      <c r="E1417">
        <v>1124</v>
      </c>
      <c r="F1417">
        <v>601.5865</v>
      </c>
    </row>
    <row r="1418" spans="1:6" x14ac:dyDescent="0.25">
      <c r="A1418" t="s">
        <v>98</v>
      </c>
      <c r="B1418" s="6">
        <v>45671</v>
      </c>
      <c r="C1418" t="s">
        <v>201</v>
      </c>
      <c r="D1418" t="s">
        <v>180</v>
      </c>
      <c r="E1418">
        <v>2222</v>
      </c>
      <c r="F1418">
        <v>600.22889999999995</v>
      </c>
    </row>
    <row r="1419" spans="1:6" x14ac:dyDescent="0.25">
      <c r="A1419" t="s">
        <v>98</v>
      </c>
      <c r="B1419" s="6">
        <v>45671</v>
      </c>
      <c r="C1419" t="s">
        <v>201</v>
      </c>
      <c r="D1419" t="s">
        <v>10</v>
      </c>
      <c r="E1419">
        <v>2790</v>
      </c>
      <c r="F1419">
        <v>0</v>
      </c>
    </row>
    <row r="1420" spans="1:6" x14ac:dyDescent="0.25">
      <c r="A1420" t="s">
        <v>98</v>
      </c>
      <c r="B1420" s="6">
        <v>45670</v>
      </c>
      <c r="C1420" t="s">
        <v>201</v>
      </c>
      <c r="D1420" t="s">
        <v>10</v>
      </c>
      <c r="E1420">
        <v>193527882</v>
      </c>
      <c r="F1420">
        <v>0</v>
      </c>
    </row>
    <row r="1421" spans="1:6" x14ac:dyDescent="0.25">
      <c r="A1421" t="s">
        <v>98</v>
      </c>
      <c r="B1421" s="6">
        <v>45670</v>
      </c>
      <c r="C1421" t="s">
        <v>201</v>
      </c>
      <c r="D1421" t="s">
        <v>180</v>
      </c>
      <c r="E1421">
        <v>368315</v>
      </c>
      <c r="F1421">
        <v>608.06889999999999</v>
      </c>
    </row>
    <row r="1422" spans="1:6" x14ac:dyDescent="0.25">
      <c r="A1422" t="s">
        <v>98</v>
      </c>
      <c r="B1422" s="6">
        <v>45670</v>
      </c>
      <c r="C1422" t="s">
        <v>201</v>
      </c>
      <c r="D1422" t="s">
        <v>180</v>
      </c>
      <c r="E1422">
        <v>369539</v>
      </c>
      <c r="F1422">
        <v>606.77149999999995</v>
      </c>
    </row>
    <row r="1423" spans="1:6" x14ac:dyDescent="0.25">
      <c r="A1423" t="s">
        <v>98</v>
      </c>
      <c r="B1423" s="6">
        <v>45670</v>
      </c>
      <c r="C1423" t="s">
        <v>201</v>
      </c>
      <c r="D1423" t="s">
        <v>180</v>
      </c>
      <c r="E1423">
        <v>371586</v>
      </c>
      <c r="F1423">
        <v>606.06100000000004</v>
      </c>
    </row>
    <row r="1424" spans="1:6" x14ac:dyDescent="0.25">
      <c r="A1424" t="s">
        <v>98</v>
      </c>
      <c r="B1424" s="6">
        <v>45670</v>
      </c>
      <c r="C1424" t="s">
        <v>201</v>
      </c>
      <c r="D1424" t="s">
        <v>180</v>
      </c>
      <c r="E1424">
        <v>373971</v>
      </c>
      <c r="F1424">
        <v>604.78790000000004</v>
      </c>
    </row>
    <row r="1425" spans="1:6" x14ac:dyDescent="0.25">
      <c r="A1425" t="s">
        <v>98</v>
      </c>
      <c r="B1425" s="6">
        <v>45670</v>
      </c>
      <c r="C1425" t="s">
        <v>201</v>
      </c>
      <c r="D1425" t="s">
        <v>180</v>
      </c>
      <c r="E1425">
        <v>375314</v>
      </c>
      <c r="F1425">
        <v>603.72940000000006</v>
      </c>
    </row>
    <row r="1426" spans="1:6" x14ac:dyDescent="0.25">
      <c r="A1426" t="s">
        <v>98</v>
      </c>
      <c r="B1426" s="6">
        <v>45670</v>
      </c>
      <c r="C1426" t="s">
        <v>201</v>
      </c>
      <c r="D1426" t="s">
        <v>180</v>
      </c>
      <c r="E1426">
        <v>377366</v>
      </c>
      <c r="F1426">
        <v>602.86170000000004</v>
      </c>
    </row>
    <row r="1427" spans="1:6" x14ac:dyDescent="0.25">
      <c r="A1427" t="s">
        <v>98</v>
      </c>
      <c r="B1427" s="6">
        <v>45670</v>
      </c>
      <c r="C1427" t="s">
        <v>201</v>
      </c>
      <c r="D1427" t="s">
        <v>180</v>
      </c>
      <c r="E1427">
        <v>379764</v>
      </c>
      <c r="F1427">
        <v>601.88589999999999</v>
      </c>
    </row>
    <row r="1428" spans="1:6" x14ac:dyDescent="0.25">
      <c r="A1428" t="s">
        <v>98</v>
      </c>
      <c r="B1428" s="6">
        <v>45670</v>
      </c>
      <c r="C1428" t="s">
        <v>201</v>
      </c>
      <c r="D1428" t="s">
        <v>180</v>
      </c>
      <c r="E1428">
        <v>380702</v>
      </c>
      <c r="F1428">
        <v>600.58609999999999</v>
      </c>
    </row>
    <row r="1429" spans="1:6" x14ac:dyDescent="0.25">
      <c r="A1429" t="s">
        <v>98</v>
      </c>
      <c r="B1429" s="6">
        <v>45670</v>
      </c>
      <c r="C1429" t="s">
        <v>201</v>
      </c>
      <c r="D1429" t="s">
        <v>180</v>
      </c>
      <c r="E1429">
        <v>0</v>
      </c>
      <c r="F1429">
        <v>608.50660000000005</v>
      </c>
    </row>
    <row r="1430" spans="1:6" x14ac:dyDescent="0.25">
      <c r="A1430" t="s">
        <v>98</v>
      </c>
      <c r="B1430" s="6">
        <v>45670</v>
      </c>
      <c r="C1430" t="s">
        <v>201</v>
      </c>
      <c r="D1430" t="s">
        <v>180</v>
      </c>
      <c r="E1430">
        <v>190</v>
      </c>
      <c r="F1430">
        <v>607.93619999999999</v>
      </c>
    </row>
    <row r="1431" spans="1:6" x14ac:dyDescent="0.25">
      <c r="A1431" t="s">
        <v>98</v>
      </c>
      <c r="B1431" s="6">
        <v>45670</v>
      </c>
      <c r="C1431" t="s">
        <v>201</v>
      </c>
      <c r="D1431" t="s">
        <v>180</v>
      </c>
      <c r="E1431">
        <v>2333</v>
      </c>
      <c r="F1431">
        <v>606.70609999999999</v>
      </c>
    </row>
    <row r="1432" spans="1:6" x14ac:dyDescent="0.25">
      <c r="A1432" t="s">
        <v>98</v>
      </c>
      <c r="B1432" s="6">
        <v>45670</v>
      </c>
      <c r="C1432" t="s">
        <v>201</v>
      </c>
      <c r="D1432" t="s">
        <v>180</v>
      </c>
      <c r="E1432">
        <v>7395</v>
      </c>
      <c r="F1432">
        <v>605.87210000000005</v>
      </c>
    </row>
    <row r="1433" spans="1:6" x14ac:dyDescent="0.25">
      <c r="A1433" t="s">
        <v>98</v>
      </c>
      <c r="B1433" s="6">
        <v>45670</v>
      </c>
      <c r="C1433" t="s">
        <v>201</v>
      </c>
      <c r="D1433" t="s">
        <v>180</v>
      </c>
      <c r="E1433">
        <v>10028</v>
      </c>
      <c r="F1433">
        <v>604.63940000000002</v>
      </c>
    </row>
    <row r="1434" spans="1:6" x14ac:dyDescent="0.25">
      <c r="A1434" t="s">
        <v>98</v>
      </c>
      <c r="B1434" s="6">
        <v>45670</v>
      </c>
      <c r="C1434" t="s">
        <v>201</v>
      </c>
      <c r="D1434" t="s">
        <v>180</v>
      </c>
      <c r="E1434">
        <v>12633</v>
      </c>
      <c r="F1434">
        <v>603.62940000000003</v>
      </c>
    </row>
    <row r="1435" spans="1:6" x14ac:dyDescent="0.25">
      <c r="A1435" t="s">
        <v>98</v>
      </c>
      <c r="B1435" s="6">
        <v>45670</v>
      </c>
      <c r="C1435" t="s">
        <v>201</v>
      </c>
      <c r="D1435" t="s">
        <v>180</v>
      </c>
      <c r="E1435">
        <v>16821</v>
      </c>
      <c r="F1435">
        <v>602.65729999999996</v>
      </c>
    </row>
    <row r="1436" spans="1:6" x14ac:dyDescent="0.25">
      <c r="A1436" t="s">
        <v>98</v>
      </c>
      <c r="B1436" s="6">
        <v>45670</v>
      </c>
      <c r="C1436" t="s">
        <v>201</v>
      </c>
      <c r="D1436" t="s">
        <v>180</v>
      </c>
      <c r="E1436">
        <v>19982</v>
      </c>
      <c r="F1436">
        <v>601.64160000000004</v>
      </c>
    </row>
    <row r="1437" spans="1:6" x14ac:dyDescent="0.25">
      <c r="A1437" t="s">
        <v>98</v>
      </c>
      <c r="B1437" s="6">
        <v>45670</v>
      </c>
      <c r="C1437" t="s">
        <v>201</v>
      </c>
      <c r="D1437" t="s">
        <v>180</v>
      </c>
      <c r="E1437">
        <v>21522</v>
      </c>
      <c r="F1437">
        <v>600.60910000000001</v>
      </c>
    </row>
    <row r="1438" spans="1:6" x14ac:dyDescent="0.25">
      <c r="A1438" t="s">
        <v>98</v>
      </c>
      <c r="B1438" s="6">
        <v>45670</v>
      </c>
      <c r="C1438" t="s">
        <v>201</v>
      </c>
      <c r="D1438" t="s">
        <v>10</v>
      </c>
      <c r="E1438">
        <v>22946</v>
      </c>
      <c r="F1438">
        <v>0</v>
      </c>
    </row>
    <row r="1439" spans="1:6" x14ac:dyDescent="0.25">
      <c r="A1439" t="s">
        <v>98</v>
      </c>
      <c r="B1439" s="6">
        <v>45670</v>
      </c>
      <c r="C1439" t="s">
        <v>196</v>
      </c>
      <c r="D1439" t="s">
        <v>180</v>
      </c>
      <c r="E1439">
        <v>16688</v>
      </c>
      <c r="F1439">
        <v>606.77</v>
      </c>
    </row>
    <row r="1440" spans="1:6" x14ac:dyDescent="0.25">
      <c r="A1440" t="s">
        <v>98</v>
      </c>
      <c r="B1440" s="6">
        <v>45667</v>
      </c>
      <c r="C1440" t="s">
        <v>201</v>
      </c>
      <c r="D1440" t="s">
        <v>180</v>
      </c>
      <c r="E1440">
        <v>381290</v>
      </c>
      <c r="F1440">
        <v>629.08100000000002</v>
      </c>
    </row>
    <row r="1441" spans="1:6" x14ac:dyDescent="0.25">
      <c r="A1441" t="s">
        <v>98</v>
      </c>
      <c r="B1441" s="6">
        <v>45667</v>
      </c>
      <c r="C1441" t="s">
        <v>201</v>
      </c>
      <c r="D1441" t="s">
        <v>180</v>
      </c>
      <c r="E1441">
        <v>381521</v>
      </c>
      <c r="F1441">
        <v>628.06489999999997</v>
      </c>
    </row>
    <row r="1442" spans="1:6" x14ac:dyDescent="0.25">
      <c r="A1442" t="s">
        <v>98</v>
      </c>
      <c r="B1442" s="6">
        <v>45667</v>
      </c>
      <c r="C1442" t="s">
        <v>201</v>
      </c>
      <c r="D1442" t="s">
        <v>180</v>
      </c>
      <c r="E1442">
        <v>381854</v>
      </c>
      <c r="F1442">
        <v>626.17560000000003</v>
      </c>
    </row>
    <row r="1443" spans="1:6" x14ac:dyDescent="0.25">
      <c r="A1443" t="s">
        <v>98</v>
      </c>
      <c r="B1443" s="6">
        <v>45667</v>
      </c>
      <c r="C1443" t="s">
        <v>201</v>
      </c>
      <c r="D1443" t="s">
        <v>180</v>
      </c>
      <c r="E1443">
        <v>382255</v>
      </c>
      <c r="F1443">
        <v>624.88130000000001</v>
      </c>
    </row>
    <row r="1444" spans="1:6" x14ac:dyDescent="0.25">
      <c r="A1444" t="s">
        <v>98</v>
      </c>
      <c r="B1444" s="6">
        <v>45667</v>
      </c>
      <c r="C1444" t="s">
        <v>201</v>
      </c>
      <c r="D1444" t="s">
        <v>180</v>
      </c>
      <c r="E1444">
        <v>382882</v>
      </c>
      <c r="F1444">
        <v>623.59799999999996</v>
      </c>
    </row>
    <row r="1445" spans="1:6" x14ac:dyDescent="0.25">
      <c r="A1445" t="s">
        <v>98</v>
      </c>
      <c r="B1445" s="6">
        <v>45667</v>
      </c>
      <c r="C1445" t="s">
        <v>201</v>
      </c>
      <c r="D1445" t="s">
        <v>180</v>
      </c>
      <c r="E1445">
        <v>383614</v>
      </c>
      <c r="F1445">
        <v>622.53099999999995</v>
      </c>
    </row>
    <row r="1446" spans="1:6" x14ac:dyDescent="0.25">
      <c r="A1446" t="s">
        <v>98</v>
      </c>
      <c r="B1446" s="6">
        <v>45667</v>
      </c>
      <c r="C1446" t="s">
        <v>201</v>
      </c>
      <c r="D1446" t="s">
        <v>180</v>
      </c>
      <c r="E1446">
        <v>384202</v>
      </c>
      <c r="F1446">
        <v>621.7124</v>
      </c>
    </row>
    <row r="1447" spans="1:6" x14ac:dyDescent="0.25">
      <c r="A1447" t="s">
        <v>98</v>
      </c>
      <c r="B1447" s="6">
        <v>45667</v>
      </c>
      <c r="C1447" t="s">
        <v>201</v>
      </c>
      <c r="D1447" t="s">
        <v>180</v>
      </c>
      <c r="E1447">
        <v>384698</v>
      </c>
      <c r="F1447">
        <v>619.99980000000005</v>
      </c>
    </row>
    <row r="1448" spans="1:6" x14ac:dyDescent="0.25">
      <c r="A1448" t="s">
        <v>98</v>
      </c>
      <c r="B1448" s="6">
        <v>45667</v>
      </c>
      <c r="C1448" t="s">
        <v>201</v>
      </c>
      <c r="D1448" t="s">
        <v>180</v>
      </c>
      <c r="E1448">
        <v>384946</v>
      </c>
      <c r="F1448">
        <v>619.24220000000003</v>
      </c>
    </row>
    <row r="1449" spans="1:6" x14ac:dyDescent="0.25">
      <c r="A1449" t="s">
        <v>98</v>
      </c>
      <c r="B1449" s="6">
        <v>45667</v>
      </c>
      <c r="C1449" t="s">
        <v>201</v>
      </c>
      <c r="D1449" t="s">
        <v>180</v>
      </c>
      <c r="E1449">
        <v>385574</v>
      </c>
      <c r="F1449">
        <v>618.15369999999996</v>
      </c>
    </row>
    <row r="1450" spans="1:6" x14ac:dyDescent="0.25">
      <c r="A1450" t="s">
        <v>98</v>
      </c>
      <c r="B1450" s="6">
        <v>45667</v>
      </c>
      <c r="C1450" t="s">
        <v>201</v>
      </c>
      <c r="D1450" t="s">
        <v>180</v>
      </c>
      <c r="E1450">
        <v>386074</v>
      </c>
      <c r="F1450">
        <v>617.08040000000005</v>
      </c>
    </row>
    <row r="1451" spans="1:6" x14ac:dyDescent="0.25">
      <c r="A1451" t="s">
        <v>98</v>
      </c>
      <c r="B1451" s="6">
        <v>45667</v>
      </c>
      <c r="C1451" t="s">
        <v>201</v>
      </c>
      <c r="D1451" t="s">
        <v>180</v>
      </c>
      <c r="E1451">
        <v>386753</v>
      </c>
      <c r="F1451">
        <v>616.15459999999996</v>
      </c>
    </row>
    <row r="1452" spans="1:6" x14ac:dyDescent="0.25">
      <c r="A1452" t="s">
        <v>98</v>
      </c>
      <c r="B1452" s="6">
        <v>45667</v>
      </c>
      <c r="C1452" t="s">
        <v>201</v>
      </c>
      <c r="D1452" t="s">
        <v>180</v>
      </c>
      <c r="E1452">
        <v>387981</v>
      </c>
      <c r="F1452">
        <v>614.85739999999998</v>
      </c>
    </row>
    <row r="1453" spans="1:6" x14ac:dyDescent="0.25">
      <c r="A1453" t="s">
        <v>98</v>
      </c>
      <c r="B1453" s="6">
        <v>45667</v>
      </c>
      <c r="C1453" t="s">
        <v>201</v>
      </c>
      <c r="D1453" t="s">
        <v>180</v>
      </c>
      <c r="E1453">
        <v>388892</v>
      </c>
      <c r="F1453">
        <v>613.76369999999997</v>
      </c>
    </row>
    <row r="1454" spans="1:6" x14ac:dyDescent="0.25">
      <c r="A1454" t="s">
        <v>98</v>
      </c>
      <c r="B1454" s="6">
        <v>45667</v>
      </c>
      <c r="C1454" t="s">
        <v>201</v>
      </c>
      <c r="D1454" t="s">
        <v>180</v>
      </c>
      <c r="E1454">
        <v>389778</v>
      </c>
      <c r="F1454">
        <v>612.79650000000004</v>
      </c>
    </row>
    <row r="1455" spans="1:6" x14ac:dyDescent="0.25">
      <c r="A1455" t="s">
        <v>98</v>
      </c>
      <c r="B1455" s="6">
        <v>45667</v>
      </c>
      <c r="C1455" t="s">
        <v>201</v>
      </c>
      <c r="D1455" t="s">
        <v>180</v>
      </c>
      <c r="E1455">
        <v>390278</v>
      </c>
      <c r="F1455">
        <v>611.78859999999997</v>
      </c>
    </row>
    <row r="1456" spans="1:6" x14ac:dyDescent="0.25">
      <c r="A1456" t="s">
        <v>98</v>
      </c>
      <c r="B1456" s="6">
        <v>45667</v>
      </c>
      <c r="C1456" t="s">
        <v>201</v>
      </c>
      <c r="D1456" t="s">
        <v>180</v>
      </c>
      <c r="E1456">
        <v>390962</v>
      </c>
      <c r="F1456">
        <v>610.62030000000004</v>
      </c>
    </row>
    <row r="1457" spans="1:6" x14ac:dyDescent="0.25">
      <c r="A1457" t="s">
        <v>98</v>
      </c>
      <c r="B1457" s="6">
        <v>45667</v>
      </c>
      <c r="C1457" t="s">
        <v>201</v>
      </c>
      <c r="D1457" t="s">
        <v>180</v>
      </c>
      <c r="E1457">
        <v>391467</v>
      </c>
      <c r="F1457">
        <v>608.96579999999994</v>
      </c>
    </row>
    <row r="1458" spans="1:6" x14ac:dyDescent="0.25">
      <c r="A1458" t="s">
        <v>98</v>
      </c>
      <c r="B1458" s="6">
        <v>45667</v>
      </c>
      <c r="C1458" t="s">
        <v>201</v>
      </c>
      <c r="D1458" t="s">
        <v>180</v>
      </c>
      <c r="E1458">
        <v>391735</v>
      </c>
      <c r="F1458">
        <v>607.63</v>
      </c>
    </row>
    <row r="1459" spans="1:6" x14ac:dyDescent="0.25">
      <c r="A1459" t="s">
        <v>98</v>
      </c>
      <c r="B1459" s="6">
        <v>45667</v>
      </c>
      <c r="C1459" t="s">
        <v>201</v>
      </c>
      <c r="D1459" t="s">
        <v>180</v>
      </c>
      <c r="E1459">
        <v>391835</v>
      </c>
      <c r="F1459">
        <v>606.39930000000004</v>
      </c>
    </row>
    <row r="1460" spans="1:6" x14ac:dyDescent="0.25">
      <c r="A1460" t="s">
        <v>98</v>
      </c>
      <c r="B1460" s="6">
        <v>45667</v>
      </c>
      <c r="C1460" t="s">
        <v>201</v>
      </c>
      <c r="D1460" t="s">
        <v>180</v>
      </c>
      <c r="E1460">
        <v>392504</v>
      </c>
      <c r="F1460">
        <v>605.60260000000005</v>
      </c>
    </row>
    <row r="1461" spans="1:6" x14ac:dyDescent="0.25">
      <c r="A1461" t="s">
        <v>98</v>
      </c>
      <c r="B1461" s="6">
        <v>45667</v>
      </c>
      <c r="C1461" t="s">
        <v>201</v>
      </c>
      <c r="D1461" t="s">
        <v>180</v>
      </c>
      <c r="E1461">
        <v>392970</v>
      </c>
      <c r="F1461">
        <v>604.07100000000003</v>
      </c>
    </row>
    <row r="1462" spans="1:6" x14ac:dyDescent="0.25">
      <c r="A1462" t="s">
        <v>98</v>
      </c>
      <c r="B1462" s="6">
        <v>45667</v>
      </c>
      <c r="C1462" t="s">
        <v>201</v>
      </c>
      <c r="D1462" t="s">
        <v>180</v>
      </c>
      <c r="E1462">
        <v>393474</v>
      </c>
      <c r="F1462">
        <v>602.59670000000006</v>
      </c>
    </row>
    <row r="1463" spans="1:6" x14ac:dyDescent="0.25">
      <c r="A1463" t="s">
        <v>98</v>
      </c>
      <c r="B1463" s="6">
        <v>45667</v>
      </c>
      <c r="C1463" t="s">
        <v>201</v>
      </c>
      <c r="D1463" t="s">
        <v>180</v>
      </c>
      <c r="E1463">
        <v>393774</v>
      </c>
      <c r="F1463">
        <v>601.48260000000005</v>
      </c>
    </row>
    <row r="1464" spans="1:6" x14ac:dyDescent="0.25">
      <c r="A1464" t="s">
        <v>98</v>
      </c>
      <c r="B1464" s="6">
        <v>45667</v>
      </c>
      <c r="C1464" t="s">
        <v>201</v>
      </c>
      <c r="D1464" t="s">
        <v>180</v>
      </c>
      <c r="E1464">
        <v>393970</v>
      </c>
      <c r="F1464">
        <v>600.47889999999995</v>
      </c>
    </row>
    <row r="1465" spans="1:6" x14ac:dyDescent="0.25">
      <c r="A1465" t="s">
        <v>98</v>
      </c>
      <c r="B1465" s="6">
        <v>45667</v>
      </c>
      <c r="C1465" t="s">
        <v>201</v>
      </c>
      <c r="D1465" t="s">
        <v>10</v>
      </c>
      <c r="E1465">
        <v>193550828</v>
      </c>
      <c r="F1465">
        <v>0</v>
      </c>
    </row>
    <row r="1466" spans="1:6" x14ac:dyDescent="0.25">
      <c r="A1466" t="s">
        <v>98</v>
      </c>
      <c r="B1466" s="6">
        <v>45667</v>
      </c>
      <c r="C1466" t="s">
        <v>201</v>
      </c>
      <c r="D1466" t="s">
        <v>180</v>
      </c>
      <c r="E1466">
        <v>0</v>
      </c>
      <c r="F1466">
        <v>629.1644</v>
      </c>
    </row>
    <row r="1467" spans="1:6" x14ac:dyDescent="0.25">
      <c r="A1467" t="s">
        <v>98</v>
      </c>
      <c r="B1467" s="6">
        <v>45667</v>
      </c>
      <c r="C1467" t="s">
        <v>201</v>
      </c>
      <c r="D1467" t="s">
        <v>180</v>
      </c>
      <c r="E1467">
        <v>621</v>
      </c>
      <c r="F1467">
        <v>627.94770000000005</v>
      </c>
    </row>
    <row r="1468" spans="1:6" x14ac:dyDescent="0.25">
      <c r="A1468" t="s">
        <v>98</v>
      </c>
      <c r="B1468" s="6">
        <v>45667</v>
      </c>
      <c r="C1468" t="s">
        <v>201</v>
      </c>
      <c r="D1468" t="s">
        <v>180</v>
      </c>
      <c r="E1468">
        <v>1010</v>
      </c>
      <c r="F1468">
        <v>626.72170000000006</v>
      </c>
    </row>
    <row r="1469" spans="1:6" x14ac:dyDescent="0.25">
      <c r="A1469" t="s">
        <v>98</v>
      </c>
      <c r="B1469" s="6">
        <v>45667</v>
      </c>
      <c r="C1469" t="s">
        <v>201</v>
      </c>
      <c r="D1469" t="s">
        <v>180</v>
      </c>
      <c r="E1469">
        <v>1298</v>
      </c>
      <c r="F1469">
        <v>625.54110000000003</v>
      </c>
    </row>
    <row r="1470" spans="1:6" x14ac:dyDescent="0.25">
      <c r="A1470" t="s">
        <v>98</v>
      </c>
      <c r="B1470" s="6">
        <v>45667</v>
      </c>
      <c r="C1470" t="s">
        <v>201</v>
      </c>
      <c r="D1470" t="s">
        <v>180</v>
      </c>
      <c r="E1470">
        <v>2078</v>
      </c>
      <c r="F1470">
        <v>624.54669999999999</v>
      </c>
    </row>
    <row r="1471" spans="1:6" x14ac:dyDescent="0.25">
      <c r="A1471" t="s">
        <v>98</v>
      </c>
      <c r="B1471" s="6">
        <v>45667</v>
      </c>
      <c r="C1471" t="s">
        <v>201</v>
      </c>
      <c r="D1471" t="s">
        <v>180</v>
      </c>
      <c r="E1471">
        <v>3045</v>
      </c>
      <c r="F1471">
        <v>623.35220000000004</v>
      </c>
    </row>
    <row r="1472" spans="1:6" x14ac:dyDescent="0.25">
      <c r="A1472" t="s">
        <v>98</v>
      </c>
      <c r="B1472" s="6">
        <v>45667</v>
      </c>
      <c r="C1472" t="s">
        <v>201</v>
      </c>
      <c r="D1472" t="s">
        <v>180</v>
      </c>
      <c r="E1472">
        <v>4298</v>
      </c>
      <c r="F1472">
        <v>622.17169999999999</v>
      </c>
    </row>
    <row r="1473" spans="1:6" x14ac:dyDescent="0.25">
      <c r="A1473" t="s">
        <v>98</v>
      </c>
      <c r="B1473" s="6">
        <v>45667</v>
      </c>
      <c r="C1473" t="s">
        <v>201</v>
      </c>
      <c r="D1473" t="s">
        <v>180</v>
      </c>
      <c r="E1473">
        <v>5378</v>
      </c>
      <c r="F1473">
        <v>621.52679999999998</v>
      </c>
    </row>
    <row r="1474" spans="1:6" x14ac:dyDescent="0.25">
      <c r="A1474" t="s">
        <v>98</v>
      </c>
      <c r="B1474" s="6">
        <v>45667</v>
      </c>
      <c r="C1474" t="s">
        <v>201</v>
      </c>
      <c r="D1474" t="s">
        <v>180</v>
      </c>
      <c r="E1474">
        <v>6225</v>
      </c>
      <c r="F1474">
        <v>619.95060000000001</v>
      </c>
    </row>
    <row r="1475" spans="1:6" x14ac:dyDescent="0.25">
      <c r="A1475" t="s">
        <v>98</v>
      </c>
      <c r="B1475" s="6">
        <v>45667</v>
      </c>
      <c r="C1475" t="s">
        <v>201</v>
      </c>
      <c r="D1475" t="s">
        <v>180</v>
      </c>
      <c r="E1475">
        <v>6846</v>
      </c>
      <c r="F1475">
        <v>618.82330000000002</v>
      </c>
    </row>
    <row r="1476" spans="1:6" x14ac:dyDescent="0.25">
      <c r="A1476" t="s">
        <v>98</v>
      </c>
      <c r="B1476" s="6">
        <v>45667</v>
      </c>
      <c r="C1476" t="s">
        <v>201</v>
      </c>
      <c r="D1476" t="s">
        <v>180</v>
      </c>
      <c r="E1476">
        <v>7826</v>
      </c>
      <c r="F1476">
        <v>617.77470000000005</v>
      </c>
    </row>
    <row r="1477" spans="1:6" x14ac:dyDescent="0.25">
      <c r="A1477" t="s">
        <v>98</v>
      </c>
      <c r="B1477" s="6">
        <v>45667</v>
      </c>
      <c r="C1477" t="s">
        <v>201</v>
      </c>
      <c r="D1477" t="s">
        <v>180</v>
      </c>
      <c r="E1477">
        <v>8981</v>
      </c>
      <c r="F1477">
        <v>616.64909999999998</v>
      </c>
    </row>
    <row r="1478" spans="1:6" x14ac:dyDescent="0.25">
      <c r="A1478" t="s">
        <v>98</v>
      </c>
      <c r="B1478" s="6">
        <v>45667</v>
      </c>
      <c r="C1478" t="s">
        <v>201</v>
      </c>
      <c r="D1478" t="s">
        <v>180</v>
      </c>
      <c r="E1478">
        <v>10802</v>
      </c>
      <c r="F1478">
        <v>615.86030000000005</v>
      </c>
    </row>
    <row r="1479" spans="1:6" x14ac:dyDescent="0.25">
      <c r="A1479" t="s">
        <v>98</v>
      </c>
      <c r="B1479" s="6">
        <v>45667</v>
      </c>
      <c r="C1479" t="s">
        <v>201</v>
      </c>
      <c r="D1479" t="s">
        <v>180</v>
      </c>
      <c r="E1479">
        <v>12252</v>
      </c>
      <c r="F1479">
        <v>614.72739999999999</v>
      </c>
    </row>
    <row r="1480" spans="1:6" x14ac:dyDescent="0.25">
      <c r="A1480" t="s">
        <v>98</v>
      </c>
      <c r="B1480" s="6">
        <v>45667</v>
      </c>
      <c r="C1480" t="s">
        <v>201</v>
      </c>
      <c r="D1480" t="s">
        <v>180</v>
      </c>
      <c r="E1480">
        <v>13690</v>
      </c>
      <c r="F1480">
        <v>613.55070000000001</v>
      </c>
    </row>
    <row r="1481" spans="1:6" x14ac:dyDescent="0.25">
      <c r="A1481" t="s">
        <v>98</v>
      </c>
      <c r="B1481" s="6">
        <v>45667</v>
      </c>
      <c r="C1481" t="s">
        <v>201</v>
      </c>
      <c r="D1481" t="s">
        <v>180</v>
      </c>
      <c r="E1481">
        <v>15370</v>
      </c>
      <c r="F1481">
        <v>612.36220000000003</v>
      </c>
    </row>
    <row r="1482" spans="1:6" x14ac:dyDescent="0.25">
      <c r="A1482" t="s">
        <v>98</v>
      </c>
      <c r="B1482" s="6">
        <v>45667</v>
      </c>
      <c r="C1482" t="s">
        <v>201</v>
      </c>
      <c r="D1482" t="s">
        <v>180</v>
      </c>
      <c r="E1482">
        <v>16535</v>
      </c>
      <c r="F1482">
        <v>611.24580000000003</v>
      </c>
    </row>
    <row r="1483" spans="1:6" x14ac:dyDescent="0.25">
      <c r="A1483" t="s">
        <v>98</v>
      </c>
      <c r="B1483" s="6">
        <v>45667</v>
      </c>
      <c r="C1483" t="s">
        <v>201</v>
      </c>
      <c r="D1483" t="s">
        <v>180</v>
      </c>
      <c r="E1483">
        <v>17412</v>
      </c>
      <c r="F1483">
        <v>610.18880000000001</v>
      </c>
    </row>
    <row r="1484" spans="1:6" x14ac:dyDescent="0.25">
      <c r="A1484" t="s">
        <v>98</v>
      </c>
      <c r="B1484" s="6">
        <v>45667</v>
      </c>
      <c r="C1484" t="s">
        <v>201</v>
      </c>
      <c r="D1484" t="s">
        <v>180</v>
      </c>
      <c r="E1484">
        <v>18193</v>
      </c>
      <c r="F1484">
        <v>608.83749999999998</v>
      </c>
    </row>
    <row r="1485" spans="1:6" x14ac:dyDescent="0.25">
      <c r="A1485" t="s">
        <v>98</v>
      </c>
      <c r="B1485" s="6">
        <v>45667</v>
      </c>
      <c r="C1485" t="s">
        <v>201</v>
      </c>
      <c r="D1485" t="s">
        <v>180</v>
      </c>
      <c r="E1485">
        <v>18393</v>
      </c>
      <c r="F1485">
        <v>607.14089999999999</v>
      </c>
    </row>
    <row r="1486" spans="1:6" x14ac:dyDescent="0.25">
      <c r="A1486" t="s">
        <v>98</v>
      </c>
      <c r="B1486" s="6">
        <v>45667</v>
      </c>
      <c r="C1486" t="s">
        <v>201</v>
      </c>
      <c r="D1486" t="s">
        <v>180</v>
      </c>
      <c r="E1486">
        <v>18881</v>
      </c>
      <c r="F1486">
        <v>606.14059999999995</v>
      </c>
    </row>
    <row r="1487" spans="1:6" x14ac:dyDescent="0.25">
      <c r="A1487" t="s">
        <v>98</v>
      </c>
      <c r="B1487" s="6">
        <v>45667</v>
      </c>
      <c r="C1487" t="s">
        <v>201</v>
      </c>
      <c r="D1487" t="s">
        <v>180</v>
      </c>
      <c r="E1487">
        <v>20087</v>
      </c>
      <c r="F1487">
        <v>605.37109999999996</v>
      </c>
    </row>
    <row r="1488" spans="1:6" x14ac:dyDescent="0.25">
      <c r="A1488" t="s">
        <v>98</v>
      </c>
      <c r="B1488" s="6">
        <v>45667</v>
      </c>
      <c r="C1488" t="s">
        <v>201</v>
      </c>
      <c r="D1488" t="s">
        <v>180</v>
      </c>
      <c r="E1488">
        <v>20892</v>
      </c>
      <c r="F1488">
        <v>604.06129999999996</v>
      </c>
    </row>
    <row r="1489" spans="1:6" x14ac:dyDescent="0.25">
      <c r="A1489" t="s">
        <v>98</v>
      </c>
      <c r="B1489" s="6">
        <v>45667</v>
      </c>
      <c r="C1489" t="s">
        <v>201</v>
      </c>
      <c r="D1489" t="s">
        <v>180</v>
      </c>
      <c r="E1489">
        <v>21471</v>
      </c>
      <c r="F1489">
        <v>602.83680000000004</v>
      </c>
    </row>
    <row r="1490" spans="1:6" x14ac:dyDescent="0.25">
      <c r="A1490" t="s">
        <v>98</v>
      </c>
      <c r="B1490" s="6">
        <v>45667</v>
      </c>
      <c r="C1490" t="s">
        <v>201</v>
      </c>
      <c r="D1490" t="s">
        <v>180</v>
      </c>
      <c r="E1490">
        <v>21832</v>
      </c>
      <c r="F1490">
        <v>601.77390000000003</v>
      </c>
    </row>
    <row r="1491" spans="1:6" x14ac:dyDescent="0.25">
      <c r="A1491" t="s">
        <v>98</v>
      </c>
      <c r="B1491" s="6">
        <v>45667</v>
      </c>
      <c r="C1491" t="s">
        <v>201</v>
      </c>
      <c r="D1491" t="s">
        <v>180</v>
      </c>
      <c r="E1491">
        <v>22385</v>
      </c>
      <c r="F1491">
        <v>600.74639999999999</v>
      </c>
    </row>
    <row r="1492" spans="1:6" x14ac:dyDescent="0.25">
      <c r="A1492" t="s">
        <v>98</v>
      </c>
      <c r="B1492" s="6">
        <v>45667</v>
      </c>
      <c r="C1492" t="s">
        <v>201</v>
      </c>
      <c r="D1492" t="s">
        <v>10</v>
      </c>
      <c r="E1492">
        <v>22946</v>
      </c>
      <c r="F1492">
        <v>0</v>
      </c>
    </row>
    <row r="1493" spans="1:6" x14ac:dyDescent="0.25">
      <c r="A1493" t="s">
        <v>98</v>
      </c>
      <c r="B1493" s="6">
        <v>45665</v>
      </c>
      <c r="C1493" t="s">
        <v>201</v>
      </c>
      <c r="D1493" t="s">
        <v>10</v>
      </c>
      <c r="E1493">
        <v>193573774</v>
      </c>
      <c r="F1493">
        <v>0</v>
      </c>
    </row>
    <row r="1494" spans="1:6" x14ac:dyDescent="0.25">
      <c r="A1494" t="s">
        <v>98</v>
      </c>
      <c r="B1494" s="6">
        <v>45665</v>
      </c>
      <c r="C1494" t="s">
        <v>201</v>
      </c>
      <c r="D1494" t="s">
        <v>180</v>
      </c>
      <c r="E1494">
        <v>394265</v>
      </c>
      <c r="F1494">
        <v>615.76</v>
      </c>
    </row>
    <row r="1495" spans="1:6" x14ac:dyDescent="0.25">
      <c r="A1495" t="s">
        <v>98</v>
      </c>
      <c r="B1495" s="6">
        <v>45665</v>
      </c>
      <c r="C1495" t="s">
        <v>201</v>
      </c>
      <c r="D1495" t="s">
        <v>180</v>
      </c>
      <c r="E1495">
        <v>394365</v>
      </c>
      <c r="F1495">
        <v>614.98050000000001</v>
      </c>
    </row>
    <row r="1496" spans="1:6" x14ac:dyDescent="0.25">
      <c r="A1496" t="s">
        <v>98</v>
      </c>
      <c r="B1496" s="6">
        <v>45665</v>
      </c>
      <c r="C1496" t="s">
        <v>201</v>
      </c>
      <c r="D1496" t="s">
        <v>180</v>
      </c>
      <c r="E1496">
        <v>395441</v>
      </c>
      <c r="F1496">
        <v>613.21410000000003</v>
      </c>
    </row>
    <row r="1497" spans="1:6" x14ac:dyDescent="0.25">
      <c r="A1497" t="s">
        <v>98</v>
      </c>
      <c r="B1497" s="6">
        <v>45665</v>
      </c>
      <c r="C1497" t="s">
        <v>201</v>
      </c>
      <c r="D1497" t="s">
        <v>180</v>
      </c>
      <c r="E1497">
        <v>396759</v>
      </c>
      <c r="F1497">
        <v>612.23590000000002</v>
      </c>
    </row>
    <row r="1498" spans="1:6" x14ac:dyDescent="0.25">
      <c r="A1498" t="s">
        <v>98</v>
      </c>
      <c r="B1498" s="6">
        <v>45665</v>
      </c>
      <c r="C1498" t="s">
        <v>201</v>
      </c>
      <c r="D1498" t="s">
        <v>180</v>
      </c>
      <c r="E1498">
        <v>398650</v>
      </c>
      <c r="F1498">
        <v>611.31410000000005</v>
      </c>
    </row>
    <row r="1499" spans="1:6" x14ac:dyDescent="0.25">
      <c r="A1499" t="s">
        <v>98</v>
      </c>
      <c r="B1499" s="6">
        <v>45665</v>
      </c>
      <c r="C1499" t="s">
        <v>201</v>
      </c>
      <c r="D1499" t="s">
        <v>180</v>
      </c>
      <c r="E1499">
        <v>401467</v>
      </c>
      <c r="F1499">
        <v>610.33219999999994</v>
      </c>
    </row>
    <row r="1500" spans="1:6" x14ac:dyDescent="0.25">
      <c r="A1500" t="s">
        <v>98</v>
      </c>
      <c r="B1500" s="6">
        <v>45665</v>
      </c>
      <c r="C1500" t="s">
        <v>201</v>
      </c>
      <c r="D1500" t="s">
        <v>180</v>
      </c>
      <c r="E1500">
        <v>404106</v>
      </c>
      <c r="F1500">
        <v>609.18230000000005</v>
      </c>
    </row>
    <row r="1501" spans="1:6" x14ac:dyDescent="0.25">
      <c r="A1501" t="s">
        <v>98</v>
      </c>
      <c r="B1501" s="6">
        <v>45665</v>
      </c>
      <c r="C1501" t="s">
        <v>201</v>
      </c>
      <c r="D1501" t="s">
        <v>180</v>
      </c>
      <c r="E1501">
        <v>405904</v>
      </c>
      <c r="F1501">
        <v>607.85170000000005</v>
      </c>
    </row>
    <row r="1502" spans="1:6" x14ac:dyDescent="0.25">
      <c r="A1502" t="s">
        <v>98</v>
      </c>
      <c r="B1502" s="6">
        <v>45665</v>
      </c>
      <c r="C1502" t="s">
        <v>201</v>
      </c>
      <c r="D1502" t="s">
        <v>180</v>
      </c>
      <c r="E1502">
        <v>406884</v>
      </c>
      <c r="F1502">
        <v>606.53819999999996</v>
      </c>
    </row>
    <row r="1503" spans="1:6" x14ac:dyDescent="0.25">
      <c r="A1503" t="s">
        <v>98</v>
      </c>
      <c r="B1503" s="6">
        <v>45665</v>
      </c>
      <c r="C1503" t="s">
        <v>201</v>
      </c>
      <c r="D1503" t="s">
        <v>180</v>
      </c>
      <c r="E1503">
        <v>0</v>
      </c>
      <c r="F1503">
        <v>615.60789999999997</v>
      </c>
    </row>
    <row r="1504" spans="1:6" x14ac:dyDescent="0.25">
      <c r="A1504" t="s">
        <v>98</v>
      </c>
      <c r="B1504" s="6">
        <v>45665</v>
      </c>
      <c r="C1504" t="s">
        <v>201</v>
      </c>
      <c r="D1504" t="s">
        <v>180</v>
      </c>
      <c r="E1504">
        <v>490</v>
      </c>
      <c r="F1504">
        <v>615.07600000000002</v>
      </c>
    </row>
    <row r="1505" spans="1:6" x14ac:dyDescent="0.25">
      <c r="A1505" t="s">
        <v>98</v>
      </c>
      <c r="B1505" s="6">
        <v>45665</v>
      </c>
      <c r="C1505" t="s">
        <v>201</v>
      </c>
      <c r="D1505" t="s">
        <v>180</v>
      </c>
      <c r="E1505">
        <v>1460</v>
      </c>
      <c r="F1505">
        <v>613.83320000000003</v>
      </c>
    </row>
    <row r="1506" spans="1:6" x14ac:dyDescent="0.25">
      <c r="A1506" t="s">
        <v>98</v>
      </c>
      <c r="B1506" s="6">
        <v>45665</v>
      </c>
      <c r="C1506" t="s">
        <v>201</v>
      </c>
      <c r="D1506" t="s">
        <v>180</v>
      </c>
      <c r="E1506">
        <v>2615</v>
      </c>
      <c r="F1506">
        <v>612.97339999999997</v>
      </c>
    </row>
    <row r="1507" spans="1:6" x14ac:dyDescent="0.25">
      <c r="A1507" t="s">
        <v>98</v>
      </c>
      <c r="B1507" s="6">
        <v>45665</v>
      </c>
      <c r="C1507" t="s">
        <v>201</v>
      </c>
      <c r="D1507" t="s">
        <v>180</v>
      </c>
      <c r="E1507">
        <v>5465</v>
      </c>
      <c r="F1507">
        <v>611.97469999999998</v>
      </c>
    </row>
    <row r="1508" spans="1:6" x14ac:dyDescent="0.25">
      <c r="A1508" t="s">
        <v>98</v>
      </c>
      <c r="B1508" s="6">
        <v>45665</v>
      </c>
      <c r="C1508" t="s">
        <v>201</v>
      </c>
      <c r="D1508" t="s">
        <v>180</v>
      </c>
      <c r="E1508">
        <v>9942</v>
      </c>
      <c r="F1508">
        <v>610.92610000000002</v>
      </c>
    </row>
    <row r="1509" spans="1:6" x14ac:dyDescent="0.25">
      <c r="A1509" t="s">
        <v>98</v>
      </c>
      <c r="B1509" s="6">
        <v>45665</v>
      </c>
      <c r="C1509" t="s">
        <v>201</v>
      </c>
      <c r="D1509" t="s">
        <v>180</v>
      </c>
      <c r="E1509">
        <v>14558</v>
      </c>
      <c r="F1509">
        <v>610.04269999999997</v>
      </c>
    </row>
    <row r="1510" spans="1:6" x14ac:dyDescent="0.25">
      <c r="A1510" t="s">
        <v>98</v>
      </c>
      <c r="B1510" s="6">
        <v>45665</v>
      </c>
      <c r="C1510" t="s">
        <v>201</v>
      </c>
      <c r="D1510" t="s">
        <v>180</v>
      </c>
      <c r="E1510">
        <v>18325</v>
      </c>
      <c r="F1510">
        <v>608.97910000000002</v>
      </c>
    </row>
    <row r="1511" spans="1:6" x14ac:dyDescent="0.25">
      <c r="A1511" t="s">
        <v>98</v>
      </c>
      <c r="B1511" s="6">
        <v>45665</v>
      </c>
      <c r="C1511" t="s">
        <v>201</v>
      </c>
      <c r="D1511" t="s">
        <v>180</v>
      </c>
      <c r="E1511">
        <v>20824</v>
      </c>
      <c r="F1511">
        <v>607.65070000000003</v>
      </c>
    </row>
    <row r="1512" spans="1:6" x14ac:dyDescent="0.25">
      <c r="A1512" t="s">
        <v>98</v>
      </c>
      <c r="B1512" s="6">
        <v>45665</v>
      </c>
      <c r="C1512" t="s">
        <v>201</v>
      </c>
      <c r="D1512" t="s">
        <v>180</v>
      </c>
      <c r="E1512">
        <v>22282</v>
      </c>
      <c r="F1512">
        <v>606.58860000000004</v>
      </c>
    </row>
    <row r="1513" spans="1:6" x14ac:dyDescent="0.25">
      <c r="A1513" t="s">
        <v>98</v>
      </c>
      <c r="B1513" s="6">
        <v>45665</v>
      </c>
      <c r="C1513" t="s">
        <v>201</v>
      </c>
      <c r="D1513" t="s">
        <v>180</v>
      </c>
      <c r="E1513">
        <v>22856</v>
      </c>
      <c r="F1513">
        <v>603.21</v>
      </c>
    </row>
    <row r="1514" spans="1:6" x14ac:dyDescent="0.25">
      <c r="A1514" t="s">
        <v>98</v>
      </c>
      <c r="B1514" s="6">
        <v>45665</v>
      </c>
      <c r="C1514" t="s">
        <v>201</v>
      </c>
      <c r="D1514" t="s">
        <v>10</v>
      </c>
      <c r="E1514">
        <v>22946</v>
      </c>
      <c r="F1514">
        <v>0</v>
      </c>
    </row>
    <row r="1515" spans="1:6" x14ac:dyDescent="0.25">
      <c r="A1515" t="s">
        <v>98</v>
      </c>
      <c r="B1515" s="6">
        <v>45664</v>
      </c>
      <c r="C1515" t="s">
        <v>195</v>
      </c>
      <c r="D1515" t="s">
        <v>180</v>
      </c>
      <c r="E1515">
        <v>32010</v>
      </c>
      <c r="F1515">
        <v>631.54999999999995</v>
      </c>
    </row>
    <row r="1516" spans="1:6" x14ac:dyDescent="0.25">
      <c r="A1516" t="s">
        <v>98</v>
      </c>
      <c r="B1516" s="6">
        <v>45664</v>
      </c>
      <c r="C1516" t="s">
        <v>201</v>
      </c>
      <c r="D1516" t="s">
        <v>180</v>
      </c>
      <c r="E1516">
        <v>407240</v>
      </c>
      <c r="F1516">
        <v>632</v>
      </c>
    </row>
    <row r="1517" spans="1:6" x14ac:dyDescent="0.25">
      <c r="A1517" t="s">
        <v>98</v>
      </c>
      <c r="B1517" s="6">
        <v>45664</v>
      </c>
      <c r="C1517" t="s">
        <v>201</v>
      </c>
      <c r="D1517" t="s">
        <v>180</v>
      </c>
      <c r="E1517">
        <v>407260</v>
      </c>
      <c r="F1517">
        <v>630.91</v>
      </c>
    </row>
    <row r="1518" spans="1:6" x14ac:dyDescent="0.25">
      <c r="A1518" t="s">
        <v>98</v>
      </c>
      <c r="B1518" s="6">
        <v>45664</v>
      </c>
      <c r="C1518" t="s">
        <v>201</v>
      </c>
      <c r="D1518" t="s">
        <v>180</v>
      </c>
      <c r="E1518">
        <v>407360</v>
      </c>
      <c r="F1518">
        <v>628.02</v>
      </c>
    </row>
    <row r="1519" spans="1:6" x14ac:dyDescent="0.25">
      <c r="A1519" t="s">
        <v>98</v>
      </c>
      <c r="B1519" s="6">
        <v>45664</v>
      </c>
      <c r="C1519" t="s">
        <v>201</v>
      </c>
      <c r="D1519" t="s">
        <v>180</v>
      </c>
      <c r="E1519">
        <v>407456</v>
      </c>
      <c r="F1519">
        <v>626.56650000000002</v>
      </c>
    </row>
    <row r="1520" spans="1:6" x14ac:dyDescent="0.25">
      <c r="A1520" t="s">
        <v>98</v>
      </c>
      <c r="B1520" s="6">
        <v>45664</v>
      </c>
      <c r="C1520" t="s">
        <v>201</v>
      </c>
      <c r="D1520" t="s">
        <v>180</v>
      </c>
      <c r="E1520">
        <v>408044</v>
      </c>
      <c r="F1520">
        <v>625.21489999999994</v>
      </c>
    </row>
    <row r="1521" spans="1:6" x14ac:dyDescent="0.25">
      <c r="A1521" t="s">
        <v>98</v>
      </c>
      <c r="B1521" s="6">
        <v>45664</v>
      </c>
      <c r="C1521" t="s">
        <v>201</v>
      </c>
      <c r="D1521" t="s">
        <v>180</v>
      </c>
      <c r="E1521">
        <v>408736</v>
      </c>
      <c r="F1521">
        <v>624.13630000000001</v>
      </c>
    </row>
    <row r="1522" spans="1:6" x14ac:dyDescent="0.25">
      <c r="A1522" t="s">
        <v>98</v>
      </c>
      <c r="B1522" s="6">
        <v>45664</v>
      </c>
      <c r="C1522" t="s">
        <v>201</v>
      </c>
      <c r="D1522" t="s">
        <v>180</v>
      </c>
      <c r="E1522">
        <v>409316</v>
      </c>
      <c r="F1522">
        <v>622.59</v>
      </c>
    </row>
    <row r="1523" spans="1:6" x14ac:dyDescent="0.25">
      <c r="A1523" t="s">
        <v>98</v>
      </c>
      <c r="B1523" s="6">
        <v>45664</v>
      </c>
      <c r="C1523" t="s">
        <v>201</v>
      </c>
      <c r="D1523" t="s">
        <v>180</v>
      </c>
      <c r="E1523">
        <v>409412</v>
      </c>
      <c r="F1523">
        <v>621.87350000000004</v>
      </c>
    </row>
    <row r="1524" spans="1:6" x14ac:dyDescent="0.25">
      <c r="A1524" t="s">
        <v>98</v>
      </c>
      <c r="B1524" s="6">
        <v>45664</v>
      </c>
      <c r="C1524" t="s">
        <v>201</v>
      </c>
      <c r="D1524" t="s">
        <v>180</v>
      </c>
      <c r="E1524">
        <v>410275</v>
      </c>
      <c r="F1524">
        <v>620.93949999999995</v>
      </c>
    </row>
    <row r="1525" spans="1:6" x14ac:dyDescent="0.25">
      <c r="A1525" t="s">
        <v>98</v>
      </c>
      <c r="B1525" s="6">
        <v>45664</v>
      </c>
      <c r="C1525" t="s">
        <v>201</v>
      </c>
      <c r="D1525" t="s">
        <v>180</v>
      </c>
      <c r="E1525">
        <v>411461</v>
      </c>
      <c r="F1525">
        <v>619.75490000000002</v>
      </c>
    </row>
    <row r="1526" spans="1:6" x14ac:dyDescent="0.25">
      <c r="A1526" t="s">
        <v>98</v>
      </c>
      <c r="B1526" s="6">
        <v>45664</v>
      </c>
      <c r="C1526" t="s">
        <v>201</v>
      </c>
      <c r="D1526" t="s">
        <v>180</v>
      </c>
      <c r="E1526">
        <v>412545</v>
      </c>
      <c r="F1526">
        <v>618.81079999999997</v>
      </c>
    </row>
    <row r="1527" spans="1:6" x14ac:dyDescent="0.25">
      <c r="A1527" t="s">
        <v>98</v>
      </c>
      <c r="B1527" s="6">
        <v>45664</v>
      </c>
      <c r="C1527" t="s">
        <v>201</v>
      </c>
      <c r="D1527" t="s">
        <v>180</v>
      </c>
      <c r="E1527">
        <v>413373</v>
      </c>
      <c r="F1527">
        <v>617.7088</v>
      </c>
    </row>
    <row r="1528" spans="1:6" x14ac:dyDescent="0.25">
      <c r="A1528" t="s">
        <v>98</v>
      </c>
      <c r="B1528" s="6">
        <v>45664</v>
      </c>
      <c r="C1528" t="s">
        <v>201</v>
      </c>
      <c r="D1528" t="s">
        <v>180</v>
      </c>
      <c r="E1528">
        <v>416599</v>
      </c>
      <c r="F1528">
        <v>616.69410000000005</v>
      </c>
    </row>
    <row r="1529" spans="1:6" x14ac:dyDescent="0.25">
      <c r="A1529" t="s">
        <v>98</v>
      </c>
      <c r="B1529" s="6">
        <v>45664</v>
      </c>
      <c r="C1529" t="s">
        <v>201</v>
      </c>
      <c r="D1529" t="s">
        <v>180</v>
      </c>
      <c r="E1529">
        <v>417858</v>
      </c>
      <c r="F1529">
        <v>615.71379999999999</v>
      </c>
    </row>
    <row r="1530" spans="1:6" x14ac:dyDescent="0.25">
      <c r="A1530" t="s">
        <v>98</v>
      </c>
      <c r="B1530" s="6">
        <v>45664</v>
      </c>
      <c r="C1530" t="s">
        <v>201</v>
      </c>
      <c r="D1530" t="s">
        <v>180</v>
      </c>
      <c r="E1530">
        <v>418658</v>
      </c>
      <c r="F1530">
        <v>614.19920000000002</v>
      </c>
    </row>
    <row r="1531" spans="1:6" x14ac:dyDescent="0.25">
      <c r="A1531" t="s">
        <v>98</v>
      </c>
      <c r="B1531" s="6">
        <v>45664</v>
      </c>
      <c r="C1531" t="s">
        <v>201</v>
      </c>
      <c r="D1531" t="s">
        <v>180</v>
      </c>
      <c r="E1531">
        <v>419196</v>
      </c>
      <c r="F1531">
        <v>612.61</v>
      </c>
    </row>
    <row r="1532" spans="1:6" x14ac:dyDescent="0.25">
      <c r="A1532" t="s">
        <v>98</v>
      </c>
      <c r="B1532" s="6">
        <v>45664</v>
      </c>
      <c r="C1532" t="s">
        <v>201</v>
      </c>
      <c r="D1532" t="s">
        <v>180</v>
      </c>
      <c r="E1532">
        <v>419292</v>
      </c>
      <c r="F1532">
        <v>610.99900000000002</v>
      </c>
    </row>
    <row r="1533" spans="1:6" x14ac:dyDescent="0.25">
      <c r="A1533" t="s">
        <v>98</v>
      </c>
      <c r="B1533" s="6">
        <v>45664</v>
      </c>
      <c r="C1533" t="s">
        <v>201</v>
      </c>
      <c r="D1533" t="s">
        <v>180</v>
      </c>
      <c r="E1533">
        <v>419827</v>
      </c>
      <c r="F1533">
        <v>609.27930000000003</v>
      </c>
    </row>
    <row r="1534" spans="1:6" x14ac:dyDescent="0.25">
      <c r="A1534" t="s">
        <v>98</v>
      </c>
      <c r="B1534" s="6">
        <v>45664</v>
      </c>
      <c r="C1534" t="s">
        <v>201</v>
      </c>
      <c r="D1534" t="s">
        <v>10</v>
      </c>
      <c r="E1534">
        <v>193596720</v>
      </c>
      <c r="F1534">
        <v>0</v>
      </c>
    </row>
    <row r="1535" spans="1:6" x14ac:dyDescent="0.25">
      <c r="A1535" t="s">
        <v>98</v>
      </c>
      <c r="B1535" s="6">
        <v>45664</v>
      </c>
      <c r="C1535" t="s">
        <v>201</v>
      </c>
      <c r="D1535" t="s">
        <v>180</v>
      </c>
      <c r="E1535">
        <v>0</v>
      </c>
      <c r="F1535">
        <v>632</v>
      </c>
    </row>
    <row r="1536" spans="1:6" x14ac:dyDescent="0.25">
      <c r="A1536" t="s">
        <v>98</v>
      </c>
      <c r="B1536" s="6">
        <v>45664</v>
      </c>
      <c r="C1536" t="s">
        <v>201</v>
      </c>
      <c r="D1536" t="s">
        <v>180</v>
      </c>
      <c r="E1536">
        <v>80</v>
      </c>
      <c r="F1536">
        <v>630.92999999999995</v>
      </c>
    </row>
    <row r="1537" spans="1:6" x14ac:dyDescent="0.25">
      <c r="A1537" t="s">
        <v>98</v>
      </c>
      <c r="B1537" s="6">
        <v>45664</v>
      </c>
      <c r="C1537" t="s">
        <v>201</v>
      </c>
      <c r="D1537" t="s">
        <v>180</v>
      </c>
      <c r="E1537">
        <v>180</v>
      </c>
      <c r="F1537">
        <v>628.02</v>
      </c>
    </row>
    <row r="1538" spans="1:6" x14ac:dyDescent="0.25">
      <c r="A1538" t="s">
        <v>98</v>
      </c>
      <c r="B1538" s="6">
        <v>45664</v>
      </c>
      <c r="C1538" t="s">
        <v>201</v>
      </c>
      <c r="D1538" t="s">
        <v>180</v>
      </c>
      <c r="E1538">
        <v>280</v>
      </c>
      <c r="F1538">
        <v>627.17780000000005</v>
      </c>
    </row>
    <row r="1539" spans="1:6" x14ac:dyDescent="0.25">
      <c r="A1539" t="s">
        <v>98</v>
      </c>
      <c r="B1539" s="6">
        <v>45664</v>
      </c>
      <c r="C1539" t="s">
        <v>201</v>
      </c>
      <c r="D1539" t="s">
        <v>180</v>
      </c>
      <c r="E1539">
        <v>860</v>
      </c>
      <c r="F1539">
        <v>626.17060000000004</v>
      </c>
    </row>
    <row r="1540" spans="1:6" x14ac:dyDescent="0.25">
      <c r="A1540" t="s">
        <v>98</v>
      </c>
      <c r="B1540" s="6">
        <v>45664</v>
      </c>
      <c r="C1540" t="s">
        <v>201</v>
      </c>
      <c r="D1540" t="s">
        <v>180</v>
      </c>
      <c r="E1540">
        <v>1651</v>
      </c>
      <c r="F1540">
        <v>625.30020000000002</v>
      </c>
    </row>
    <row r="1541" spans="1:6" x14ac:dyDescent="0.25">
      <c r="A1541" t="s">
        <v>98</v>
      </c>
      <c r="B1541" s="6">
        <v>45664</v>
      </c>
      <c r="C1541" t="s">
        <v>201</v>
      </c>
      <c r="D1541" t="s">
        <v>180</v>
      </c>
      <c r="E1541">
        <v>2611</v>
      </c>
      <c r="F1541">
        <v>624.17430000000002</v>
      </c>
    </row>
    <row r="1542" spans="1:6" x14ac:dyDescent="0.25">
      <c r="A1542" t="s">
        <v>98</v>
      </c>
      <c r="B1542" s="6">
        <v>45664</v>
      </c>
      <c r="C1542" t="s">
        <v>201</v>
      </c>
      <c r="D1542" t="s">
        <v>180</v>
      </c>
      <c r="E1542">
        <v>3581</v>
      </c>
      <c r="F1542">
        <v>622.62599999999998</v>
      </c>
    </row>
    <row r="1543" spans="1:6" x14ac:dyDescent="0.25">
      <c r="A1543" t="s">
        <v>98</v>
      </c>
      <c r="B1543" s="6">
        <v>45664</v>
      </c>
      <c r="C1543" t="s">
        <v>201</v>
      </c>
      <c r="D1543" t="s">
        <v>180</v>
      </c>
      <c r="E1543">
        <v>4033</v>
      </c>
      <c r="F1543">
        <v>621.745</v>
      </c>
    </row>
    <row r="1544" spans="1:6" x14ac:dyDescent="0.25">
      <c r="A1544" t="s">
        <v>98</v>
      </c>
      <c r="B1544" s="6">
        <v>45664</v>
      </c>
      <c r="C1544" t="s">
        <v>201</v>
      </c>
      <c r="D1544" t="s">
        <v>180</v>
      </c>
      <c r="E1544">
        <v>5837</v>
      </c>
      <c r="F1544">
        <v>620.88130000000001</v>
      </c>
    </row>
    <row r="1545" spans="1:6" x14ac:dyDescent="0.25">
      <c r="A1545" t="s">
        <v>98</v>
      </c>
      <c r="B1545" s="6">
        <v>45664</v>
      </c>
      <c r="C1545" t="s">
        <v>201</v>
      </c>
      <c r="D1545" t="s">
        <v>180</v>
      </c>
      <c r="E1545">
        <v>7713</v>
      </c>
      <c r="F1545">
        <v>619.65959999999995</v>
      </c>
    </row>
    <row r="1546" spans="1:6" x14ac:dyDescent="0.25">
      <c r="A1546" t="s">
        <v>98</v>
      </c>
      <c r="B1546" s="6">
        <v>45664</v>
      </c>
      <c r="C1546" t="s">
        <v>201</v>
      </c>
      <c r="D1546" t="s">
        <v>180</v>
      </c>
      <c r="E1546">
        <v>9756</v>
      </c>
      <c r="F1546">
        <v>618.73680000000002</v>
      </c>
    </row>
    <row r="1547" spans="1:6" x14ac:dyDescent="0.25">
      <c r="A1547" t="s">
        <v>98</v>
      </c>
      <c r="B1547" s="6">
        <v>45664</v>
      </c>
      <c r="C1547" t="s">
        <v>201</v>
      </c>
      <c r="D1547" t="s">
        <v>180</v>
      </c>
      <c r="E1547">
        <v>11571</v>
      </c>
      <c r="F1547">
        <v>617.70489999999995</v>
      </c>
    </row>
    <row r="1548" spans="1:6" x14ac:dyDescent="0.25">
      <c r="A1548" t="s">
        <v>98</v>
      </c>
      <c r="B1548" s="6">
        <v>45664</v>
      </c>
      <c r="C1548" t="s">
        <v>201</v>
      </c>
      <c r="D1548" t="s">
        <v>180</v>
      </c>
      <c r="E1548">
        <v>15955</v>
      </c>
      <c r="F1548">
        <v>616.79920000000004</v>
      </c>
    </row>
    <row r="1549" spans="1:6" x14ac:dyDescent="0.25">
      <c r="A1549" t="s">
        <v>98</v>
      </c>
      <c r="B1549" s="6">
        <v>45664</v>
      </c>
      <c r="C1549" t="s">
        <v>201</v>
      </c>
      <c r="D1549" t="s">
        <v>180</v>
      </c>
      <c r="E1549">
        <v>18543</v>
      </c>
      <c r="F1549">
        <v>615.87530000000004</v>
      </c>
    </row>
    <row r="1550" spans="1:6" x14ac:dyDescent="0.25">
      <c r="A1550" t="s">
        <v>98</v>
      </c>
      <c r="B1550" s="6">
        <v>45664</v>
      </c>
      <c r="C1550" t="s">
        <v>201</v>
      </c>
      <c r="D1550" t="s">
        <v>180</v>
      </c>
      <c r="E1550">
        <v>19723</v>
      </c>
      <c r="F1550">
        <v>614.76769999999999</v>
      </c>
    </row>
    <row r="1551" spans="1:6" x14ac:dyDescent="0.25">
      <c r="A1551" t="s">
        <v>98</v>
      </c>
      <c r="B1551" s="6">
        <v>45664</v>
      </c>
      <c r="C1551" t="s">
        <v>201</v>
      </c>
      <c r="D1551" t="s">
        <v>180</v>
      </c>
      <c r="E1551">
        <v>20941</v>
      </c>
      <c r="F1551">
        <v>613.23810000000003</v>
      </c>
    </row>
    <row r="1552" spans="1:6" x14ac:dyDescent="0.25">
      <c r="A1552" t="s">
        <v>98</v>
      </c>
      <c r="B1552" s="6">
        <v>45664</v>
      </c>
      <c r="C1552" t="s">
        <v>201</v>
      </c>
      <c r="D1552" t="s">
        <v>180</v>
      </c>
      <c r="E1552">
        <v>21231</v>
      </c>
      <c r="F1552">
        <v>612.04790000000003</v>
      </c>
    </row>
    <row r="1553" spans="1:6" x14ac:dyDescent="0.25">
      <c r="A1553" t="s">
        <v>98</v>
      </c>
      <c r="B1553" s="6">
        <v>45664</v>
      </c>
      <c r="C1553" t="s">
        <v>201</v>
      </c>
      <c r="D1553" t="s">
        <v>180</v>
      </c>
      <c r="E1553">
        <v>21421</v>
      </c>
      <c r="F1553">
        <v>611.02829999999994</v>
      </c>
    </row>
    <row r="1554" spans="1:6" x14ac:dyDescent="0.25">
      <c r="A1554" t="s">
        <v>98</v>
      </c>
      <c r="B1554" s="6">
        <v>45664</v>
      </c>
      <c r="C1554" t="s">
        <v>201</v>
      </c>
      <c r="D1554" t="s">
        <v>180</v>
      </c>
      <c r="E1554">
        <v>22181</v>
      </c>
      <c r="F1554">
        <v>609.8252</v>
      </c>
    </row>
    <row r="1555" spans="1:6" x14ac:dyDescent="0.25">
      <c r="A1555" t="s">
        <v>98</v>
      </c>
      <c r="B1555" s="6">
        <v>45664</v>
      </c>
      <c r="C1555" t="s">
        <v>201</v>
      </c>
      <c r="D1555" t="s">
        <v>180</v>
      </c>
      <c r="E1555">
        <v>22471</v>
      </c>
      <c r="F1555">
        <v>608.87559999999996</v>
      </c>
    </row>
    <row r="1556" spans="1:6" x14ac:dyDescent="0.25">
      <c r="A1556" t="s">
        <v>98</v>
      </c>
      <c r="B1556" s="6">
        <v>45664</v>
      </c>
      <c r="C1556" t="s">
        <v>201</v>
      </c>
      <c r="D1556" t="s">
        <v>10</v>
      </c>
      <c r="E1556">
        <v>22946</v>
      </c>
      <c r="F1556">
        <v>0</v>
      </c>
    </row>
    <row r="1557" spans="1:6" x14ac:dyDescent="0.25">
      <c r="A1557" t="s">
        <v>98</v>
      </c>
      <c r="B1557" s="6">
        <v>45663</v>
      </c>
      <c r="C1557" t="s">
        <v>201</v>
      </c>
      <c r="D1557" t="s">
        <v>180</v>
      </c>
      <c r="E1557">
        <v>420215</v>
      </c>
      <c r="F1557">
        <v>629.97839999999997</v>
      </c>
    </row>
    <row r="1558" spans="1:6" x14ac:dyDescent="0.25">
      <c r="A1558" t="s">
        <v>98</v>
      </c>
      <c r="B1558" s="6">
        <v>45663</v>
      </c>
      <c r="C1558" t="s">
        <v>201</v>
      </c>
      <c r="D1558" t="s">
        <v>180</v>
      </c>
      <c r="E1558">
        <v>420736</v>
      </c>
      <c r="F1558">
        <v>629.11770000000001</v>
      </c>
    </row>
    <row r="1559" spans="1:6" x14ac:dyDescent="0.25">
      <c r="A1559" t="s">
        <v>98</v>
      </c>
      <c r="B1559" s="6">
        <v>45663</v>
      </c>
      <c r="C1559" t="s">
        <v>201</v>
      </c>
      <c r="D1559" t="s">
        <v>180</v>
      </c>
      <c r="E1559">
        <v>421215</v>
      </c>
      <c r="F1559">
        <v>626.95309999999995</v>
      </c>
    </row>
    <row r="1560" spans="1:6" x14ac:dyDescent="0.25">
      <c r="A1560" t="s">
        <v>98</v>
      </c>
      <c r="B1560" s="6">
        <v>45663</v>
      </c>
      <c r="C1560" t="s">
        <v>201</v>
      </c>
      <c r="D1560" t="s">
        <v>180</v>
      </c>
      <c r="E1560">
        <v>421411</v>
      </c>
      <c r="F1560">
        <v>625.89499999999998</v>
      </c>
    </row>
    <row r="1561" spans="1:6" x14ac:dyDescent="0.25">
      <c r="A1561" t="s">
        <v>98</v>
      </c>
      <c r="B1561" s="6">
        <v>45663</v>
      </c>
      <c r="C1561" t="s">
        <v>201</v>
      </c>
      <c r="D1561" t="s">
        <v>180</v>
      </c>
      <c r="E1561">
        <v>421507</v>
      </c>
      <c r="F1561">
        <v>624.98379999999997</v>
      </c>
    </row>
    <row r="1562" spans="1:6" x14ac:dyDescent="0.25">
      <c r="A1562" t="s">
        <v>98</v>
      </c>
      <c r="B1562" s="6">
        <v>45663</v>
      </c>
      <c r="C1562" t="s">
        <v>201</v>
      </c>
      <c r="D1562" t="s">
        <v>180</v>
      </c>
      <c r="E1562">
        <v>421891</v>
      </c>
      <c r="F1562">
        <v>623.7269</v>
      </c>
    </row>
    <row r="1563" spans="1:6" x14ac:dyDescent="0.25">
      <c r="A1563" t="s">
        <v>98</v>
      </c>
      <c r="B1563" s="6">
        <v>45663</v>
      </c>
      <c r="C1563" t="s">
        <v>201</v>
      </c>
      <c r="D1563" t="s">
        <v>180</v>
      </c>
      <c r="E1563">
        <v>422367</v>
      </c>
      <c r="F1563">
        <v>622.89499999999998</v>
      </c>
    </row>
    <row r="1564" spans="1:6" x14ac:dyDescent="0.25">
      <c r="A1564" t="s">
        <v>98</v>
      </c>
      <c r="B1564" s="6">
        <v>45663</v>
      </c>
      <c r="C1564" t="s">
        <v>201</v>
      </c>
      <c r="D1564" t="s">
        <v>180</v>
      </c>
      <c r="E1564">
        <v>423492</v>
      </c>
      <c r="F1564">
        <v>621.92179999999996</v>
      </c>
    </row>
    <row r="1565" spans="1:6" x14ac:dyDescent="0.25">
      <c r="A1565" t="s">
        <v>98</v>
      </c>
      <c r="B1565" s="6">
        <v>45663</v>
      </c>
      <c r="C1565" t="s">
        <v>201</v>
      </c>
      <c r="D1565" t="s">
        <v>180</v>
      </c>
      <c r="E1565">
        <v>424349</v>
      </c>
      <c r="F1565">
        <v>620.6748</v>
      </c>
    </row>
    <row r="1566" spans="1:6" x14ac:dyDescent="0.25">
      <c r="A1566" t="s">
        <v>98</v>
      </c>
      <c r="B1566" s="6">
        <v>45663</v>
      </c>
      <c r="C1566" t="s">
        <v>201</v>
      </c>
      <c r="D1566" t="s">
        <v>180</v>
      </c>
      <c r="E1566">
        <v>426363</v>
      </c>
      <c r="F1566">
        <v>619.78420000000006</v>
      </c>
    </row>
    <row r="1567" spans="1:6" x14ac:dyDescent="0.25">
      <c r="A1567" t="s">
        <v>98</v>
      </c>
      <c r="B1567" s="6">
        <v>45663</v>
      </c>
      <c r="C1567" t="s">
        <v>201</v>
      </c>
      <c r="D1567" t="s">
        <v>180</v>
      </c>
      <c r="E1567">
        <v>428097</v>
      </c>
      <c r="F1567">
        <v>618.44200000000001</v>
      </c>
    </row>
    <row r="1568" spans="1:6" x14ac:dyDescent="0.25">
      <c r="A1568" t="s">
        <v>98</v>
      </c>
      <c r="B1568" s="6">
        <v>45663</v>
      </c>
      <c r="C1568" t="s">
        <v>201</v>
      </c>
      <c r="D1568" t="s">
        <v>180</v>
      </c>
      <c r="E1568">
        <v>428410</v>
      </c>
      <c r="F1568">
        <v>617.9579</v>
      </c>
    </row>
    <row r="1569" spans="1:6" x14ac:dyDescent="0.25">
      <c r="A1569" t="s">
        <v>98</v>
      </c>
      <c r="B1569" s="6">
        <v>45663</v>
      </c>
      <c r="C1569" t="s">
        <v>201</v>
      </c>
      <c r="D1569" t="s">
        <v>180</v>
      </c>
      <c r="E1569">
        <v>428516</v>
      </c>
      <c r="F1569">
        <v>615.97230000000002</v>
      </c>
    </row>
    <row r="1570" spans="1:6" x14ac:dyDescent="0.25">
      <c r="A1570" t="s">
        <v>98</v>
      </c>
      <c r="B1570" s="6">
        <v>45663</v>
      </c>
      <c r="C1570" t="s">
        <v>201</v>
      </c>
      <c r="D1570" t="s">
        <v>180</v>
      </c>
      <c r="E1570">
        <v>428808</v>
      </c>
      <c r="F1570">
        <v>614.20230000000004</v>
      </c>
    </row>
    <row r="1571" spans="1:6" x14ac:dyDescent="0.25">
      <c r="A1571" t="s">
        <v>98</v>
      </c>
      <c r="B1571" s="6">
        <v>45663</v>
      </c>
      <c r="C1571" t="s">
        <v>201</v>
      </c>
      <c r="D1571" t="s">
        <v>180</v>
      </c>
      <c r="E1571">
        <v>429016</v>
      </c>
      <c r="F1571">
        <v>613.05309999999997</v>
      </c>
    </row>
    <row r="1572" spans="1:6" x14ac:dyDescent="0.25">
      <c r="A1572" t="s">
        <v>98</v>
      </c>
      <c r="B1572" s="6">
        <v>45663</v>
      </c>
      <c r="C1572" t="s">
        <v>201</v>
      </c>
      <c r="D1572" t="s">
        <v>180</v>
      </c>
      <c r="E1572">
        <v>430061</v>
      </c>
      <c r="F1572">
        <v>612.07370000000003</v>
      </c>
    </row>
    <row r="1573" spans="1:6" x14ac:dyDescent="0.25">
      <c r="A1573" t="s">
        <v>98</v>
      </c>
      <c r="B1573" s="6">
        <v>45663</v>
      </c>
      <c r="C1573" t="s">
        <v>201</v>
      </c>
      <c r="D1573" t="s">
        <v>180</v>
      </c>
      <c r="E1573">
        <v>431126</v>
      </c>
      <c r="F1573">
        <v>611.08630000000005</v>
      </c>
    </row>
    <row r="1574" spans="1:6" x14ac:dyDescent="0.25">
      <c r="A1574" t="s">
        <v>98</v>
      </c>
      <c r="B1574" s="6">
        <v>45663</v>
      </c>
      <c r="C1574" t="s">
        <v>201</v>
      </c>
      <c r="D1574" t="s">
        <v>180</v>
      </c>
      <c r="E1574">
        <v>431718</v>
      </c>
      <c r="F1574">
        <v>609.04390000000001</v>
      </c>
    </row>
    <row r="1575" spans="1:6" x14ac:dyDescent="0.25">
      <c r="A1575" t="s">
        <v>98</v>
      </c>
      <c r="B1575" s="6">
        <v>45663</v>
      </c>
      <c r="C1575" t="s">
        <v>201</v>
      </c>
      <c r="D1575" t="s">
        <v>180</v>
      </c>
      <c r="E1575">
        <v>432105</v>
      </c>
      <c r="F1575">
        <v>608.22249999999997</v>
      </c>
    </row>
    <row r="1576" spans="1:6" x14ac:dyDescent="0.25">
      <c r="A1576" t="s">
        <v>98</v>
      </c>
      <c r="B1576" s="6">
        <v>45663</v>
      </c>
      <c r="C1576" t="s">
        <v>201</v>
      </c>
      <c r="D1576" t="s">
        <v>180</v>
      </c>
      <c r="E1576">
        <v>432990</v>
      </c>
      <c r="F1576">
        <v>606.09</v>
      </c>
    </row>
    <row r="1577" spans="1:6" x14ac:dyDescent="0.25">
      <c r="A1577" t="s">
        <v>98</v>
      </c>
      <c r="B1577" s="6">
        <v>45663</v>
      </c>
      <c r="C1577" t="s">
        <v>201</v>
      </c>
      <c r="D1577" t="s">
        <v>10</v>
      </c>
      <c r="E1577">
        <v>193619666</v>
      </c>
      <c r="F1577">
        <v>0</v>
      </c>
    </row>
    <row r="1578" spans="1:6" x14ac:dyDescent="0.25">
      <c r="A1578" t="s">
        <v>98</v>
      </c>
      <c r="B1578" s="6">
        <v>45663</v>
      </c>
      <c r="C1578" t="s">
        <v>201</v>
      </c>
      <c r="D1578" t="s">
        <v>180</v>
      </c>
      <c r="E1578">
        <v>0</v>
      </c>
      <c r="F1578">
        <v>630.33789999999999</v>
      </c>
    </row>
    <row r="1579" spans="1:6" x14ac:dyDescent="0.25">
      <c r="A1579" t="s">
        <v>98</v>
      </c>
      <c r="B1579" s="6">
        <v>45663</v>
      </c>
      <c r="C1579" t="s">
        <v>201</v>
      </c>
      <c r="D1579" t="s">
        <v>180</v>
      </c>
      <c r="E1579">
        <v>495</v>
      </c>
      <c r="F1579">
        <v>629.6223</v>
      </c>
    </row>
    <row r="1580" spans="1:6" x14ac:dyDescent="0.25">
      <c r="A1580" t="s">
        <v>98</v>
      </c>
      <c r="B1580" s="6">
        <v>45663</v>
      </c>
      <c r="C1580" t="s">
        <v>201</v>
      </c>
      <c r="D1580" t="s">
        <v>180</v>
      </c>
      <c r="E1580">
        <v>1448</v>
      </c>
      <c r="F1580">
        <v>628.60230000000001</v>
      </c>
    </row>
    <row r="1581" spans="1:6" x14ac:dyDescent="0.25">
      <c r="A1581" t="s">
        <v>98</v>
      </c>
      <c r="B1581" s="6">
        <v>45663</v>
      </c>
      <c r="C1581" t="s">
        <v>201</v>
      </c>
      <c r="D1581" t="s">
        <v>180</v>
      </c>
      <c r="E1581">
        <v>1767</v>
      </c>
      <c r="F1581">
        <v>627.07380000000001</v>
      </c>
    </row>
    <row r="1582" spans="1:6" x14ac:dyDescent="0.25">
      <c r="A1582" t="s">
        <v>98</v>
      </c>
      <c r="B1582" s="6">
        <v>45663</v>
      </c>
      <c r="C1582" t="s">
        <v>201</v>
      </c>
      <c r="D1582" t="s">
        <v>180</v>
      </c>
      <c r="E1582">
        <v>2167</v>
      </c>
      <c r="F1582">
        <v>625.75490000000002</v>
      </c>
    </row>
    <row r="1583" spans="1:6" x14ac:dyDescent="0.25">
      <c r="A1583" t="s">
        <v>98</v>
      </c>
      <c r="B1583" s="6">
        <v>45663</v>
      </c>
      <c r="C1583" t="s">
        <v>201</v>
      </c>
      <c r="D1583" t="s">
        <v>180</v>
      </c>
      <c r="E1583">
        <v>2514</v>
      </c>
      <c r="F1583">
        <v>624.95060000000001</v>
      </c>
    </row>
    <row r="1584" spans="1:6" x14ac:dyDescent="0.25">
      <c r="A1584" t="s">
        <v>98</v>
      </c>
      <c r="B1584" s="6">
        <v>45663</v>
      </c>
      <c r="C1584" t="s">
        <v>201</v>
      </c>
      <c r="D1584" t="s">
        <v>180</v>
      </c>
      <c r="E1584">
        <v>3083</v>
      </c>
      <c r="F1584">
        <v>623.52380000000005</v>
      </c>
    </row>
    <row r="1585" spans="1:6" x14ac:dyDescent="0.25">
      <c r="A1585" t="s">
        <v>98</v>
      </c>
      <c r="B1585" s="6">
        <v>45663</v>
      </c>
      <c r="C1585" t="s">
        <v>201</v>
      </c>
      <c r="D1585" t="s">
        <v>180</v>
      </c>
      <c r="E1585">
        <v>4363</v>
      </c>
      <c r="F1585">
        <v>622.64369999999997</v>
      </c>
    </row>
    <row r="1586" spans="1:6" x14ac:dyDescent="0.25">
      <c r="A1586" t="s">
        <v>98</v>
      </c>
      <c r="B1586" s="6">
        <v>45663</v>
      </c>
      <c r="C1586" t="s">
        <v>201</v>
      </c>
      <c r="D1586" t="s">
        <v>180</v>
      </c>
      <c r="E1586">
        <v>6084</v>
      </c>
      <c r="F1586">
        <v>621.35699999999997</v>
      </c>
    </row>
    <row r="1587" spans="1:6" x14ac:dyDescent="0.25">
      <c r="A1587" t="s">
        <v>98</v>
      </c>
      <c r="B1587" s="6">
        <v>45663</v>
      </c>
      <c r="C1587" t="s">
        <v>201</v>
      </c>
      <c r="D1587" t="s">
        <v>180</v>
      </c>
      <c r="E1587">
        <v>8414</v>
      </c>
      <c r="F1587">
        <v>620.51919999999996</v>
      </c>
    </row>
    <row r="1588" spans="1:6" x14ac:dyDescent="0.25">
      <c r="A1588" t="s">
        <v>98</v>
      </c>
      <c r="B1588" s="6">
        <v>45663</v>
      </c>
      <c r="C1588" t="s">
        <v>201</v>
      </c>
      <c r="D1588" t="s">
        <v>180</v>
      </c>
      <c r="E1588">
        <v>12215</v>
      </c>
      <c r="F1588">
        <v>619.59990000000005</v>
      </c>
    </row>
    <row r="1589" spans="1:6" x14ac:dyDescent="0.25">
      <c r="A1589" t="s">
        <v>98</v>
      </c>
      <c r="B1589" s="6">
        <v>45663</v>
      </c>
      <c r="C1589" t="s">
        <v>201</v>
      </c>
      <c r="D1589" t="s">
        <v>180</v>
      </c>
      <c r="E1589">
        <v>13834</v>
      </c>
      <c r="F1589">
        <v>618.28679999999997</v>
      </c>
    </row>
    <row r="1590" spans="1:6" x14ac:dyDescent="0.25">
      <c r="A1590" t="s">
        <v>98</v>
      </c>
      <c r="B1590" s="6">
        <v>45663</v>
      </c>
      <c r="C1590" t="s">
        <v>201</v>
      </c>
      <c r="D1590" t="s">
        <v>180</v>
      </c>
      <c r="E1590">
        <v>14714</v>
      </c>
      <c r="F1590">
        <v>616.87509999999997</v>
      </c>
    </row>
    <row r="1591" spans="1:6" x14ac:dyDescent="0.25">
      <c r="A1591" t="s">
        <v>98</v>
      </c>
      <c r="B1591" s="6">
        <v>45663</v>
      </c>
      <c r="C1591" t="s">
        <v>201</v>
      </c>
      <c r="D1591" t="s">
        <v>180</v>
      </c>
      <c r="E1591">
        <v>15003</v>
      </c>
      <c r="F1591">
        <v>615.31500000000005</v>
      </c>
    </row>
    <row r="1592" spans="1:6" x14ac:dyDescent="0.25">
      <c r="A1592" t="s">
        <v>98</v>
      </c>
      <c r="B1592" s="6">
        <v>45663</v>
      </c>
      <c r="C1592" t="s">
        <v>201</v>
      </c>
      <c r="D1592" t="s">
        <v>180</v>
      </c>
      <c r="E1592">
        <v>15203</v>
      </c>
      <c r="F1592">
        <v>614.4067</v>
      </c>
    </row>
    <row r="1593" spans="1:6" x14ac:dyDescent="0.25">
      <c r="A1593" t="s">
        <v>98</v>
      </c>
      <c r="B1593" s="6">
        <v>45663</v>
      </c>
      <c r="C1593" t="s">
        <v>201</v>
      </c>
      <c r="D1593" t="s">
        <v>180</v>
      </c>
      <c r="E1593">
        <v>15503</v>
      </c>
      <c r="F1593">
        <v>613.39290000000005</v>
      </c>
    </row>
    <row r="1594" spans="1:6" x14ac:dyDescent="0.25">
      <c r="A1594" t="s">
        <v>98</v>
      </c>
      <c r="B1594" s="6">
        <v>45663</v>
      </c>
      <c r="C1594" t="s">
        <v>201</v>
      </c>
      <c r="D1594" t="s">
        <v>180</v>
      </c>
      <c r="E1594">
        <v>16667</v>
      </c>
      <c r="F1594">
        <v>612.346</v>
      </c>
    </row>
    <row r="1595" spans="1:6" x14ac:dyDescent="0.25">
      <c r="A1595" t="s">
        <v>98</v>
      </c>
      <c r="B1595" s="6">
        <v>45663</v>
      </c>
      <c r="C1595" t="s">
        <v>201</v>
      </c>
      <c r="D1595" t="s">
        <v>180</v>
      </c>
      <c r="E1595">
        <v>18539</v>
      </c>
      <c r="F1595">
        <v>611.30460000000005</v>
      </c>
    </row>
    <row r="1596" spans="1:6" x14ac:dyDescent="0.25">
      <c r="A1596" t="s">
        <v>98</v>
      </c>
      <c r="B1596" s="6">
        <v>45663</v>
      </c>
      <c r="C1596" t="s">
        <v>201</v>
      </c>
      <c r="D1596" t="s">
        <v>180</v>
      </c>
      <c r="E1596">
        <v>20189</v>
      </c>
      <c r="F1596">
        <v>610.27160000000003</v>
      </c>
    </row>
    <row r="1597" spans="1:6" x14ac:dyDescent="0.25">
      <c r="A1597" t="s">
        <v>98</v>
      </c>
      <c r="B1597" s="6">
        <v>45663</v>
      </c>
      <c r="C1597" t="s">
        <v>201</v>
      </c>
      <c r="D1597" t="s">
        <v>180</v>
      </c>
      <c r="E1597">
        <v>20379</v>
      </c>
      <c r="F1597">
        <v>609.02110000000005</v>
      </c>
    </row>
    <row r="1598" spans="1:6" x14ac:dyDescent="0.25">
      <c r="A1598" t="s">
        <v>98</v>
      </c>
      <c r="B1598" s="6">
        <v>45663</v>
      </c>
      <c r="C1598" t="s">
        <v>201</v>
      </c>
      <c r="D1598" t="s">
        <v>180</v>
      </c>
      <c r="E1598">
        <v>21175</v>
      </c>
      <c r="F1598">
        <v>608.11170000000004</v>
      </c>
    </row>
    <row r="1599" spans="1:6" x14ac:dyDescent="0.25">
      <c r="A1599" t="s">
        <v>98</v>
      </c>
      <c r="B1599" s="6">
        <v>45663</v>
      </c>
      <c r="C1599" t="s">
        <v>201</v>
      </c>
      <c r="D1599" t="s">
        <v>180</v>
      </c>
      <c r="E1599">
        <v>22556</v>
      </c>
      <c r="F1599">
        <v>606.31899999999996</v>
      </c>
    </row>
    <row r="1600" spans="1:6" x14ac:dyDescent="0.25">
      <c r="A1600" t="s">
        <v>98</v>
      </c>
      <c r="B1600" s="6">
        <v>45663</v>
      </c>
      <c r="C1600" t="s">
        <v>201</v>
      </c>
      <c r="D1600" t="s">
        <v>10</v>
      </c>
      <c r="E1600">
        <v>22946</v>
      </c>
      <c r="F1600">
        <v>0</v>
      </c>
    </row>
    <row r="1601" spans="1:6" x14ac:dyDescent="0.25">
      <c r="A1601" t="s">
        <v>98</v>
      </c>
      <c r="B1601" s="6">
        <v>45663</v>
      </c>
      <c r="C1601" t="s">
        <v>196</v>
      </c>
      <c r="D1601" t="s">
        <v>180</v>
      </c>
      <c r="E1601">
        <v>17101</v>
      </c>
      <c r="F1601">
        <v>612.1</v>
      </c>
    </row>
    <row r="1602" spans="1:6" x14ac:dyDescent="0.25">
      <c r="A1602" t="s">
        <v>98</v>
      </c>
      <c r="B1602" s="6">
        <v>45660</v>
      </c>
      <c r="C1602" t="s">
        <v>201</v>
      </c>
      <c r="D1602" t="s">
        <v>10</v>
      </c>
      <c r="E1602">
        <v>193642612</v>
      </c>
      <c r="F1602">
        <v>0</v>
      </c>
    </row>
    <row r="1603" spans="1:6" x14ac:dyDescent="0.25">
      <c r="A1603" t="s">
        <v>98</v>
      </c>
      <c r="B1603" s="6">
        <v>45660</v>
      </c>
      <c r="C1603" t="s">
        <v>201</v>
      </c>
      <c r="D1603" t="s">
        <v>180</v>
      </c>
      <c r="E1603">
        <v>433190</v>
      </c>
      <c r="F1603">
        <v>608.51139999999998</v>
      </c>
    </row>
    <row r="1604" spans="1:6" x14ac:dyDescent="0.25">
      <c r="A1604" t="s">
        <v>98</v>
      </c>
      <c r="B1604" s="6">
        <v>45660</v>
      </c>
      <c r="C1604" t="s">
        <v>201</v>
      </c>
      <c r="D1604" t="s">
        <v>180</v>
      </c>
      <c r="E1604">
        <v>433600</v>
      </c>
      <c r="F1604">
        <v>606.94510000000002</v>
      </c>
    </row>
    <row r="1605" spans="1:6" x14ac:dyDescent="0.25">
      <c r="A1605" t="s">
        <v>98</v>
      </c>
      <c r="B1605" s="6">
        <v>45660</v>
      </c>
      <c r="C1605" t="s">
        <v>201</v>
      </c>
      <c r="D1605" t="s">
        <v>180</v>
      </c>
      <c r="E1605">
        <v>433970</v>
      </c>
      <c r="F1605">
        <v>605.94200000000001</v>
      </c>
    </row>
    <row r="1606" spans="1:6" x14ac:dyDescent="0.25">
      <c r="A1606" t="s">
        <v>98</v>
      </c>
      <c r="B1606" s="6">
        <v>45660</v>
      </c>
      <c r="C1606" t="s">
        <v>201</v>
      </c>
      <c r="D1606" t="s">
        <v>180</v>
      </c>
      <c r="E1606">
        <v>435445</v>
      </c>
      <c r="F1606">
        <v>604.87040000000002</v>
      </c>
    </row>
    <row r="1607" spans="1:6" x14ac:dyDescent="0.25">
      <c r="A1607" t="s">
        <v>98</v>
      </c>
      <c r="B1607" s="6">
        <v>45660</v>
      </c>
      <c r="C1607" t="s">
        <v>201</v>
      </c>
      <c r="D1607" t="s">
        <v>180</v>
      </c>
      <c r="E1607">
        <v>438212</v>
      </c>
      <c r="F1607">
        <v>603.92190000000005</v>
      </c>
    </row>
    <row r="1608" spans="1:6" x14ac:dyDescent="0.25">
      <c r="A1608" t="s">
        <v>98</v>
      </c>
      <c r="B1608" s="6">
        <v>45660</v>
      </c>
      <c r="C1608" t="s">
        <v>201</v>
      </c>
      <c r="D1608" t="s">
        <v>180</v>
      </c>
      <c r="E1608">
        <v>442031</v>
      </c>
      <c r="F1608">
        <v>602.98710000000005</v>
      </c>
    </row>
    <row r="1609" spans="1:6" x14ac:dyDescent="0.25">
      <c r="A1609" t="s">
        <v>98</v>
      </c>
      <c r="B1609" s="6">
        <v>45660</v>
      </c>
      <c r="C1609" t="s">
        <v>201</v>
      </c>
      <c r="D1609" t="s">
        <v>180</v>
      </c>
      <c r="E1609">
        <v>443807</v>
      </c>
      <c r="F1609">
        <v>601.79179999999997</v>
      </c>
    </row>
    <row r="1610" spans="1:6" x14ac:dyDescent="0.25">
      <c r="A1610" t="s">
        <v>98</v>
      </c>
      <c r="B1610" s="6">
        <v>45660</v>
      </c>
      <c r="C1610" t="s">
        <v>201</v>
      </c>
      <c r="D1610" t="s">
        <v>180</v>
      </c>
      <c r="E1610">
        <v>445078</v>
      </c>
      <c r="F1610">
        <v>600.76469999999995</v>
      </c>
    </row>
    <row r="1611" spans="1:6" x14ac:dyDescent="0.25">
      <c r="A1611" t="s">
        <v>98</v>
      </c>
      <c r="B1611" s="6">
        <v>45660</v>
      </c>
      <c r="C1611" t="s">
        <v>201</v>
      </c>
      <c r="D1611" t="s">
        <v>180</v>
      </c>
      <c r="E1611">
        <v>0</v>
      </c>
      <c r="F1611">
        <v>608.8433</v>
      </c>
    </row>
    <row r="1612" spans="1:6" x14ac:dyDescent="0.25">
      <c r="A1612" t="s">
        <v>98</v>
      </c>
      <c r="B1612" s="6">
        <v>45660</v>
      </c>
      <c r="C1612" t="s">
        <v>201</v>
      </c>
      <c r="D1612" t="s">
        <v>180</v>
      </c>
      <c r="E1612">
        <v>300</v>
      </c>
      <c r="F1612">
        <v>607.84429999999998</v>
      </c>
    </row>
    <row r="1613" spans="1:6" x14ac:dyDescent="0.25">
      <c r="A1613" t="s">
        <v>98</v>
      </c>
      <c r="B1613" s="6">
        <v>45660</v>
      </c>
      <c r="C1613" t="s">
        <v>201</v>
      </c>
      <c r="D1613" t="s">
        <v>180</v>
      </c>
      <c r="E1613">
        <v>790</v>
      </c>
      <c r="F1613">
        <v>606.8116</v>
      </c>
    </row>
    <row r="1614" spans="1:6" x14ac:dyDescent="0.25">
      <c r="A1614" t="s">
        <v>98</v>
      </c>
      <c r="B1614" s="6">
        <v>45660</v>
      </c>
      <c r="C1614" t="s">
        <v>201</v>
      </c>
      <c r="D1614" t="s">
        <v>180</v>
      </c>
      <c r="E1614">
        <v>1560</v>
      </c>
      <c r="F1614">
        <v>605.97609999999997</v>
      </c>
    </row>
    <row r="1615" spans="1:6" x14ac:dyDescent="0.25">
      <c r="A1615" t="s">
        <v>98</v>
      </c>
      <c r="B1615" s="6">
        <v>45660</v>
      </c>
      <c r="C1615" t="s">
        <v>201</v>
      </c>
      <c r="D1615" t="s">
        <v>180</v>
      </c>
      <c r="E1615">
        <v>3853</v>
      </c>
      <c r="F1615">
        <v>604.83979999999997</v>
      </c>
    </row>
    <row r="1616" spans="1:6" x14ac:dyDescent="0.25">
      <c r="A1616" t="s">
        <v>98</v>
      </c>
      <c r="B1616" s="6">
        <v>45660</v>
      </c>
      <c r="C1616" t="s">
        <v>201</v>
      </c>
      <c r="D1616" t="s">
        <v>180</v>
      </c>
      <c r="E1616">
        <v>9416</v>
      </c>
      <c r="F1616">
        <v>603.87090000000001</v>
      </c>
    </row>
    <row r="1617" spans="1:6" x14ac:dyDescent="0.25">
      <c r="A1617" t="s">
        <v>98</v>
      </c>
      <c r="B1617" s="6">
        <v>45660</v>
      </c>
      <c r="C1617" t="s">
        <v>201</v>
      </c>
      <c r="D1617" t="s">
        <v>180</v>
      </c>
      <c r="E1617">
        <v>15835</v>
      </c>
      <c r="F1617">
        <v>602.90229999999997</v>
      </c>
    </row>
    <row r="1618" spans="1:6" x14ac:dyDescent="0.25">
      <c r="A1618" t="s">
        <v>98</v>
      </c>
      <c r="B1618" s="6">
        <v>45660</v>
      </c>
      <c r="C1618" t="s">
        <v>201</v>
      </c>
      <c r="D1618" t="s">
        <v>180</v>
      </c>
      <c r="E1618">
        <v>18896</v>
      </c>
      <c r="F1618">
        <v>601.64149999999995</v>
      </c>
    </row>
    <row r="1619" spans="1:6" x14ac:dyDescent="0.25">
      <c r="A1619" t="s">
        <v>98</v>
      </c>
      <c r="B1619" s="6">
        <v>45660</v>
      </c>
      <c r="C1619" t="s">
        <v>201</v>
      </c>
      <c r="D1619" t="s">
        <v>180</v>
      </c>
      <c r="E1619">
        <v>21459</v>
      </c>
      <c r="F1619">
        <v>600.54309999999998</v>
      </c>
    </row>
    <row r="1620" spans="1:6" x14ac:dyDescent="0.25">
      <c r="A1620" t="s">
        <v>98</v>
      </c>
      <c r="B1620" s="6">
        <v>45660</v>
      </c>
      <c r="C1620" t="s">
        <v>201</v>
      </c>
      <c r="D1620" t="s">
        <v>10</v>
      </c>
      <c r="E1620">
        <v>22946</v>
      </c>
      <c r="F1620">
        <v>0</v>
      </c>
    </row>
    <row r="1621" spans="1:6" x14ac:dyDescent="0.25">
      <c r="A1621" t="s">
        <v>98</v>
      </c>
      <c r="B1621" s="6">
        <v>45659</v>
      </c>
      <c r="C1621" t="s">
        <v>201</v>
      </c>
      <c r="D1621" t="s">
        <v>10</v>
      </c>
      <c r="E1621">
        <v>193665558</v>
      </c>
      <c r="F1621">
        <v>0</v>
      </c>
    </row>
    <row r="1622" spans="1:6" x14ac:dyDescent="0.25">
      <c r="A1622" t="s">
        <v>98</v>
      </c>
      <c r="B1622" s="6">
        <v>45659</v>
      </c>
      <c r="C1622" t="s">
        <v>201</v>
      </c>
      <c r="D1622" t="s">
        <v>180</v>
      </c>
      <c r="E1622">
        <v>446165</v>
      </c>
      <c r="F1622">
        <v>603.67790000000002</v>
      </c>
    </row>
    <row r="1623" spans="1:6" x14ac:dyDescent="0.25">
      <c r="A1623" t="s">
        <v>98</v>
      </c>
      <c r="B1623" s="6">
        <v>45659</v>
      </c>
      <c r="C1623" t="s">
        <v>201</v>
      </c>
      <c r="D1623" t="s">
        <v>180</v>
      </c>
      <c r="E1623">
        <v>446640</v>
      </c>
      <c r="F1623">
        <v>602.35450000000003</v>
      </c>
    </row>
    <row r="1624" spans="1:6" x14ac:dyDescent="0.25">
      <c r="A1624" t="s">
        <v>98</v>
      </c>
      <c r="B1624" s="6">
        <v>45659</v>
      </c>
      <c r="C1624" t="s">
        <v>201</v>
      </c>
      <c r="D1624" t="s">
        <v>180</v>
      </c>
      <c r="E1624">
        <v>447126</v>
      </c>
      <c r="F1624">
        <v>601.50310000000002</v>
      </c>
    </row>
    <row r="1625" spans="1:6" x14ac:dyDescent="0.25">
      <c r="A1625" t="s">
        <v>98</v>
      </c>
      <c r="B1625" s="6">
        <v>45659</v>
      </c>
      <c r="C1625" t="s">
        <v>201</v>
      </c>
      <c r="D1625" t="s">
        <v>180</v>
      </c>
      <c r="E1625">
        <v>447313</v>
      </c>
      <c r="F1625">
        <v>600.28840000000002</v>
      </c>
    </row>
    <row r="1626" spans="1:6" x14ac:dyDescent="0.25">
      <c r="A1626" t="s">
        <v>98</v>
      </c>
      <c r="B1626" s="6">
        <v>45659</v>
      </c>
      <c r="C1626" t="s">
        <v>201</v>
      </c>
      <c r="D1626" t="s">
        <v>180</v>
      </c>
      <c r="E1626">
        <v>0</v>
      </c>
      <c r="F1626">
        <v>604.46759999999995</v>
      </c>
    </row>
    <row r="1627" spans="1:6" x14ac:dyDescent="0.25">
      <c r="A1627" t="s">
        <v>98</v>
      </c>
      <c r="B1627" s="6">
        <v>45659</v>
      </c>
      <c r="C1627" t="s">
        <v>201</v>
      </c>
      <c r="D1627" t="s">
        <v>180</v>
      </c>
      <c r="E1627">
        <v>119</v>
      </c>
      <c r="F1627">
        <v>603.53970000000004</v>
      </c>
    </row>
    <row r="1628" spans="1:6" x14ac:dyDescent="0.25">
      <c r="A1628" t="s">
        <v>98</v>
      </c>
      <c r="B1628" s="6">
        <v>45659</v>
      </c>
      <c r="C1628" t="s">
        <v>201</v>
      </c>
      <c r="D1628" t="s">
        <v>180</v>
      </c>
      <c r="E1628">
        <v>719</v>
      </c>
      <c r="F1628">
        <v>602.63599999999997</v>
      </c>
    </row>
    <row r="1629" spans="1:6" x14ac:dyDescent="0.25">
      <c r="A1629" t="s">
        <v>98</v>
      </c>
      <c r="B1629" s="6">
        <v>45659</v>
      </c>
      <c r="C1629" t="s">
        <v>201</v>
      </c>
      <c r="D1629" t="s">
        <v>180</v>
      </c>
      <c r="E1629">
        <v>1410</v>
      </c>
      <c r="F1629">
        <v>601.57809999999995</v>
      </c>
    </row>
    <row r="1630" spans="1:6" x14ac:dyDescent="0.25">
      <c r="A1630" t="s">
        <v>98</v>
      </c>
      <c r="B1630" s="6">
        <v>45659</v>
      </c>
      <c r="C1630" t="s">
        <v>201</v>
      </c>
      <c r="D1630" t="s">
        <v>180</v>
      </c>
      <c r="E1630">
        <v>2192</v>
      </c>
      <c r="F1630">
        <v>600.31539999999995</v>
      </c>
    </row>
    <row r="1631" spans="1:6" x14ac:dyDescent="0.25">
      <c r="A1631" t="s">
        <v>98</v>
      </c>
      <c r="B1631" s="6">
        <v>45659</v>
      </c>
      <c r="C1631" t="s">
        <v>201</v>
      </c>
      <c r="D1631" t="s">
        <v>10</v>
      </c>
      <c r="E1631">
        <v>4112</v>
      </c>
      <c r="F1631">
        <v>0</v>
      </c>
    </row>
    <row r="1632" spans="1:6" x14ac:dyDescent="0.25">
      <c r="A1632" t="s">
        <v>98</v>
      </c>
      <c r="B1632" s="6">
        <v>45657</v>
      </c>
      <c r="C1632" t="s">
        <v>195</v>
      </c>
      <c r="D1632" t="s">
        <v>180</v>
      </c>
      <c r="E1632">
        <v>32915</v>
      </c>
      <c r="F1632">
        <v>591.76</v>
      </c>
    </row>
    <row r="1633" spans="1:6" x14ac:dyDescent="0.25">
      <c r="A1633" t="s">
        <v>98</v>
      </c>
      <c r="B1633" s="6">
        <v>45656</v>
      </c>
      <c r="C1633" t="s">
        <v>196</v>
      </c>
      <c r="D1633" t="s">
        <v>180</v>
      </c>
      <c r="E1633">
        <v>17514</v>
      </c>
      <c r="F1633">
        <v>589.16</v>
      </c>
    </row>
    <row r="1634" spans="1:6" x14ac:dyDescent="0.25">
      <c r="A1634" t="s">
        <v>98</v>
      </c>
      <c r="B1634" s="6">
        <v>45653</v>
      </c>
      <c r="C1634" t="s">
        <v>201</v>
      </c>
      <c r="D1634" t="s">
        <v>10</v>
      </c>
      <c r="E1634">
        <v>193669670</v>
      </c>
      <c r="F1634">
        <v>0</v>
      </c>
    </row>
    <row r="1635" spans="1:6" x14ac:dyDescent="0.25">
      <c r="A1635" t="s">
        <v>98</v>
      </c>
      <c r="B1635" s="6">
        <v>45653</v>
      </c>
      <c r="C1635" t="s">
        <v>201</v>
      </c>
      <c r="D1635" t="s">
        <v>180</v>
      </c>
      <c r="E1635">
        <v>448563</v>
      </c>
      <c r="F1635">
        <v>601.47</v>
      </c>
    </row>
    <row r="1636" spans="1:6" x14ac:dyDescent="0.25">
      <c r="A1636" t="s">
        <v>98</v>
      </c>
      <c r="B1636" s="6">
        <v>45653</v>
      </c>
      <c r="C1636" t="s">
        <v>201</v>
      </c>
      <c r="D1636" t="s">
        <v>180</v>
      </c>
      <c r="E1636">
        <v>448663</v>
      </c>
      <c r="F1636">
        <v>600</v>
      </c>
    </row>
    <row r="1637" spans="1:6" x14ac:dyDescent="0.25">
      <c r="A1637" t="s">
        <v>98</v>
      </c>
      <c r="B1637" s="6">
        <v>45653</v>
      </c>
      <c r="C1637" t="s">
        <v>201</v>
      </c>
      <c r="D1637" t="s">
        <v>180</v>
      </c>
      <c r="E1637">
        <v>0</v>
      </c>
      <c r="F1637">
        <v>601.15</v>
      </c>
    </row>
    <row r="1638" spans="1:6" x14ac:dyDescent="0.25">
      <c r="A1638" t="s">
        <v>98</v>
      </c>
      <c r="B1638" s="6">
        <v>45653</v>
      </c>
      <c r="C1638" t="s">
        <v>201</v>
      </c>
      <c r="D1638" t="s">
        <v>180</v>
      </c>
      <c r="E1638">
        <v>200</v>
      </c>
      <c r="F1638">
        <v>600.07939999999996</v>
      </c>
    </row>
    <row r="1639" spans="1:6" x14ac:dyDescent="0.25">
      <c r="A1639" t="s">
        <v>98</v>
      </c>
      <c r="B1639" s="6">
        <v>45653</v>
      </c>
      <c r="C1639" t="s">
        <v>201</v>
      </c>
      <c r="D1639" t="s">
        <v>10</v>
      </c>
      <c r="E1639">
        <v>1439</v>
      </c>
      <c r="F1639">
        <v>0</v>
      </c>
    </row>
    <row r="1640" spans="1:6" x14ac:dyDescent="0.25">
      <c r="A1640" t="s">
        <v>98</v>
      </c>
      <c r="B1640" s="6">
        <v>45652</v>
      </c>
      <c r="C1640" t="s">
        <v>201</v>
      </c>
      <c r="D1640" t="s">
        <v>10</v>
      </c>
      <c r="E1640">
        <v>193671109</v>
      </c>
      <c r="F1640">
        <v>0</v>
      </c>
    </row>
    <row r="1641" spans="1:6" x14ac:dyDescent="0.25">
      <c r="A1641" t="s">
        <v>98</v>
      </c>
      <c r="B1641" s="6">
        <v>45652</v>
      </c>
      <c r="C1641" t="s">
        <v>201</v>
      </c>
      <c r="D1641" t="s">
        <v>180</v>
      </c>
      <c r="E1641">
        <v>449435</v>
      </c>
      <c r="F1641">
        <v>606.17349999999999</v>
      </c>
    </row>
    <row r="1642" spans="1:6" x14ac:dyDescent="0.25">
      <c r="A1642" t="s">
        <v>98</v>
      </c>
      <c r="B1642" s="6">
        <v>45652</v>
      </c>
      <c r="C1642" t="s">
        <v>201</v>
      </c>
      <c r="D1642" t="s">
        <v>180</v>
      </c>
      <c r="E1642">
        <v>449514</v>
      </c>
      <c r="F1642">
        <v>604.9325</v>
      </c>
    </row>
    <row r="1643" spans="1:6" x14ac:dyDescent="0.25">
      <c r="A1643" t="s">
        <v>98</v>
      </c>
      <c r="B1643" s="6">
        <v>45652</v>
      </c>
      <c r="C1643" t="s">
        <v>201</v>
      </c>
      <c r="D1643" t="s">
        <v>180</v>
      </c>
      <c r="E1643">
        <v>451689</v>
      </c>
      <c r="F1643">
        <v>603.82000000000005</v>
      </c>
    </row>
    <row r="1644" spans="1:6" x14ac:dyDescent="0.25">
      <c r="A1644" t="s">
        <v>98</v>
      </c>
      <c r="B1644" s="6">
        <v>45652</v>
      </c>
      <c r="C1644" t="s">
        <v>201</v>
      </c>
      <c r="D1644" t="s">
        <v>180</v>
      </c>
      <c r="E1644">
        <v>453820</v>
      </c>
      <c r="F1644">
        <v>602.976</v>
      </c>
    </row>
    <row r="1645" spans="1:6" x14ac:dyDescent="0.25">
      <c r="A1645" t="s">
        <v>98</v>
      </c>
      <c r="B1645" s="6">
        <v>45652</v>
      </c>
      <c r="C1645" t="s">
        <v>201</v>
      </c>
      <c r="D1645" t="s">
        <v>180</v>
      </c>
      <c r="E1645">
        <v>458846</v>
      </c>
      <c r="F1645">
        <v>602.07709999999997</v>
      </c>
    </row>
    <row r="1646" spans="1:6" x14ac:dyDescent="0.25">
      <c r="A1646" t="s">
        <v>98</v>
      </c>
      <c r="B1646" s="6">
        <v>45652</v>
      </c>
      <c r="C1646" t="s">
        <v>201</v>
      </c>
      <c r="D1646" t="s">
        <v>180</v>
      </c>
      <c r="E1646">
        <v>461580</v>
      </c>
      <c r="F1646">
        <v>600.95429999999999</v>
      </c>
    </row>
    <row r="1647" spans="1:6" x14ac:dyDescent="0.25">
      <c r="A1647" t="s">
        <v>98</v>
      </c>
      <c r="B1647" s="6">
        <v>45652</v>
      </c>
      <c r="C1647" t="s">
        <v>201</v>
      </c>
      <c r="D1647" t="s">
        <v>180</v>
      </c>
      <c r="E1647">
        <v>0</v>
      </c>
      <c r="F1647">
        <v>605.41049999999996</v>
      </c>
    </row>
    <row r="1648" spans="1:6" x14ac:dyDescent="0.25">
      <c r="A1648" t="s">
        <v>98</v>
      </c>
      <c r="B1648" s="6">
        <v>45652</v>
      </c>
      <c r="C1648" t="s">
        <v>201</v>
      </c>
      <c r="D1648" t="s">
        <v>180</v>
      </c>
      <c r="E1648">
        <v>1532</v>
      </c>
      <c r="F1648">
        <v>604.69380000000001</v>
      </c>
    </row>
    <row r="1649" spans="1:6" x14ac:dyDescent="0.25">
      <c r="A1649" t="s">
        <v>98</v>
      </c>
      <c r="B1649" s="6">
        <v>45652</v>
      </c>
      <c r="C1649" t="s">
        <v>201</v>
      </c>
      <c r="D1649" t="s">
        <v>180</v>
      </c>
      <c r="E1649">
        <v>4537</v>
      </c>
      <c r="F1649">
        <v>603.52970000000005</v>
      </c>
    </row>
    <row r="1650" spans="1:6" x14ac:dyDescent="0.25">
      <c r="A1650" t="s">
        <v>98</v>
      </c>
      <c r="B1650" s="6">
        <v>45652</v>
      </c>
      <c r="C1650" t="s">
        <v>201</v>
      </c>
      <c r="D1650" t="s">
        <v>180</v>
      </c>
      <c r="E1650">
        <v>11296</v>
      </c>
      <c r="F1650">
        <v>602.60590000000002</v>
      </c>
    </row>
    <row r="1651" spans="1:6" x14ac:dyDescent="0.25">
      <c r="A1651" t="s">
        <v>98</v>
      </c>
      <c r="B1651" s="6">
        <v>45652</v>
      </c>
      <c r="C1651" t="s">
        <v>201</v>
      </c>
      <c r="D1651" t="s">
        <v>180</v>
      </c>
      <c r="E1651">
        <v>19266</v>
      </c>
      <c r="F1651">
        <v>601.69169999999997</v>
      </c>
    </row>
    <row r="1652" spans="1:6" x14ac:dyDescent="0.25">
      <c r="A1652" t="s">
        <v>98</v>
      </c>
      <c r="B1652" s="6">
        <v>45652</v>
      </c>
      <c r="C1652" t="s">
        <v>201</v>
      </c>
      <c r="D1652" t="s">
        <v>180</v>
      </c>
      <c r="E1652">
        <v>21988</v>
      </c>
      <c r="F1652">
        <v>600.59299999999996</v>
      </c>
    </row>
    <row r="1653" spans="1:6" x14ac:dyDescent="0.25">
      <c r="A1653" t="s">
        <v>98</v>
      </c>
      <c r="B1653" s="6">
        <v>45652</v>
      </c>
      <c r="C1653" t="s">
        <v>201</v>
      </c>
      <c r="D1653" t="s">
        <v>10</v>
      </c>
      <c r="E1653">
        <v>22946</v>
      </c>
      <c r="F1653">
        <v>0</v>
      </c>
    </row>
    <row r="1654" spans="1:6" x14ac:dyDescent="0.25">
      <c r="A1654" t="s">
        <v>98</v>
      </c>
      <c r="B1654" s="6">
        <v>45650</v>
      </c>
      <c r="C1654" t="s">
        <v>201</v>
      </c>
      <c r="D1654" t="s">
        <v>10</v>
      </c>
      <c r="E1654">
        <v>193694055</v>
      </c>
      <c r="F1654">
        <v>0</v>
      </c>
    </row>
    <row r="1655" spans="1:6" x14ac:dyDescent="0.25">
      <c r="A1655" t="s">
        <v>98</v>
      </c>
      <c r="B1655" s="6">
        <v>45650</v>
      </c>
      <c r="C1655" t="s">
        <v>201</v>
      </c>
      <c r="D1655" t="s">
        <v>180</v>
      </c>
      <c r="E1655">
        <v>462410</v>
      </c>
      <c r="F1655">
        <v>607.59670000000006</v>
      </c>
    </row>
    <row r="1656" spans="1:6" x14ac:dyDescent="0.25">
      <c r="A1656" t="s">
        <v>98</v>
      </c>
      <c r="B1656" s="6">
        <v>45650</v>
      </c>
      <c r="C1656" t="s">
        <v>201</v>
      </c>
      <c r="D1656" t="s">
        <v>180</v>
      </c>
      <c r="E1656">
        <v>462590</v>
      </c>
      <c r="F1656">
        <v>607.07780000000002</v>
      </c>
    </row>
    <row r="1657" spans="1:6" x14ac:dyDescent="0.25">
      <c r="A1657" t="s">
        <v>98</v>
      </c>
      <c r="B1657" s="6">
        <v>45650</v>
      </c>
      <c r="C1657" t="s">
        <v>201</v>
      </c>
      <c r="D1657" t="s">
        <v>180</v>
      </c>
      <c r="E1657">
        <v>463769</v>
      </c>
      <c r="F1657">
        <v>606.00969999999995</v>
      </c>
    </row>
    <row r="1658" spans="1:6" x14ac:dyDescent="0.25">
      <c r="A1658" t="s">
        <v>98</v>
      </c>
      <c r="B1658" s="6">
        <v>45650</v>
      </c>
      <c r="C1658" t="s">
        <v>201</v>
      </c>
      <c r="D1658" t="s">
        <v>180</v>
      </c>
      <c r="E1658">
        <v>466683</v>
      </c>
      <c r="F1658">
        <v>605.04949999999997</v>
      </c>
    </row>
    <row r="1659" spans="1:6" x14ac:dyDescent="0.25">
      <c r="A1659" t="s">
        <v>98</v>
      </c>
      <c r="B1659" s="6">
        <v>45650</v>
      </c>
      <c r="C1659" t="s">
        <v>201</v>
      </c>
      <c r="D1659" t="s">
        <v>180</v>
      </c>
      <c r="E1659">
        <v>470253</v>
      </c>
      <c r="F1659">
        <v>603.79970000000003</v>
      </c>
    </row>
    <row r="1660" spans="1:6" x14ac:dyDescent="0.25">
      <c r="A1660" t="s">
        <v>98</v>
      </c>
      <c r="B1660" s="6">
        <v>45650</v>
      </c>
      <c r="C1660" t="s">
        <v>201</v>
      </c>
      <c r="D1660" t="s">
        <v>180</v>
      </c>
      <c r="E1660">
        <v>471915</v>
      </c>
      <c r="F1660">
        <v>602.81079999999997</v>
      </c>
    </row>
    <row r="1661" spans="1:6" x14ac:dyDescent="0.25">
      <c r="A1661" t="s">
        <v>98</v>
      </c>
      <c r="B1661" s="6">
        <v>45650</v>
      </c>
      <c r="C1661" t="s">
        <v>201</v>
      </c>
      <c r="D1661" t="s">
        <v>180</v>
      </c>
      <c r="E1661">
        <v>472965</v>
      </c>
      <c r="F1661">
        <v>601.74639999999999</v>
      </c>
    </row>
    <row r="1662" spans="1:6" x14ac:dyDescent="0.25">
      <c r="A1662" t="s">
        <v>98</v>
      </c>
      <c r="B1662" s="6">
        <v>45650</v>
      </c>
      <c r="C1662" t="s">
        <v>201</v>
      </c>
      <c r="D1662" t="s">
        <v>180</v>
      </c>
      <c r="E1662">
        <v>474365</v>
      </c>
      <c r="F1662">
        <v>600.77419999999995</v>
      </c>
    </row>
    <row r="1663" spans="1:6" x14ac:dyDescent="0.25">
      <c r="A1663" t="s">
        <v>98</v>
      </c>
      <c r="B1663" s="6">
        <v>45650</v>
      </c>
      <c r="C1663" t="s">
        <v>201</v>
      </c>
      <c r="D1663" t="s">
        <v>180</v>
      </c>
      <c r="E1663">
        <v>0</v>
      </c>
      <c r="F1663">
        <v>607.45600000000002</v>
      </c>
    </row>
    <row r="1664" spans="1:6" x14ac:dyDescent="0.25">
      <c r="A1664" t="s">
        <v>98</v>
      </c>
      <c r="B1664" s="6">
        <v>45650</v>
      </c>
      <c r="C1664" t="s">
        <v>201</v>
      </c>
      <c r="D1664" t="s">
        <v>180</v>
      </c>
      <c r="E1664">
        <v>1218</v>
      </c>
      <c r="F1664">
        <v>606.45069999999998</v>
      </c>
    </row>
    <row r="1665" spans="1:6" x14ac:dyDescent="0.25">
      <c r="A1665" t="s">
        <v>98</v>
      </c>
      <c r="B1665" s="6">
        <v>45650</v>
      </c>
      <c r="C1665" t="s">
        <v>201</v>
      </c>
      <c r="D1665" t="s">
        <v>180</v>
      </c>
      <c r="E1665">
        <v>5080</v>
      </c>
      <c r="F1665">
        <v>605.45569999999998</v>
      </c>
    </row>
    <row r="1666" spans="1:6" x14ac:dyDescent="0.25">
      <c r="A1666" t="s">
        <v>98</v>
      </c>
      <c r="B1666" s="6">
        <v>45650</v>
      </c>
      <c r="C1666" t="s">
        <v>201</v>
      </c>
      <c r="D1666" t="s">
        <v>180</v>
      </c>
      <c r="E1666">
        <v>10608</v>
      </c>
      <c r="F1666">
        <v>604.77639999999997</v>
      </c>
    </row>
    <row r="1667" spans="1:6" x14ac:dyDescent="0.25">
      <c r="A1667" t="s">
        <v>98</v>
      </c>
      <c r="B1667" s="6">
        <v>45650</v>
      </c>
      <c r="C1667" t="s">
        <v>201</v>
      </c>
      <c r="D1667" t="s">
        <v>180</v>
      </c>
      <c r="E1667">
        <v>14512</v>
      </c>
      <c r="F1667">
        <v>603.59649999999999</v>
      </c>
    </row>
    <row r="1668" spans="1:6" x14ac:dyDescent="0.25">
      <c r="A1668" t="s">
        <v>98</v>
      </c>
      <c r="B1668" s="6">
        <v>45650</v>
      </c>
      <c r="C1668" t="s">
        <v>201</v>
      </c>
      <c r="D1668" t="s">
        <v>180</v>
      </c>
      <c r="E1668">
        <v>17603</v>
      </c>
      <c r="F1668">
        <v>602.52729999999997</v>
      </c>
    </row>
    <row r="1669" spans="1:6" x14ac:dyDescent="0.25">
      <c r="A1669" t="s">
        <v>98</v>
      </c>
      <c r="B1669" s="6">
        <v>45650</v>
      </c>
      <c r="C1669" t="s">
        <v>201</v>
      </c>
      <c r="D1669" t="s">
        <v>180</v>
      </c>
      <c r="E1669">
        <v>19123</v>
      </c>
      <c r="F1669">
        <v>601.51790000000005</v>
      </c>
    </row>
    <row r="1670" spans="1:6" x14ac:dyDescent="0.25">
      <c r="A1670" t="s">
        <v>98</v>
      </c>
      <c r="B1670" s="6">
        <v>45650</v>
      </c>
      <c r="C1670" t="s">
        <v>201</v>
      </c>
      <c r="D1670" t="s">
        <v>180</v>
      </c>
      <c r="E1670">
        <v>21744</v>
      </c>
      <c r="F1670">
        <v>600.51030000000003</v>
      </c>
    </row>
    <row r="1671" spans="1:6" x14ac:dyDescent="0.25">
      <c r="A1671" t="s">
        <v>98</v>
      </c>
      <c r="B1671" s="6">
        <v>45650</v>
      </c>
      <c r="C1671" t="s">
        <v>201</v>
      </c>
      <c r="D1671" t="s">
        <v>10</v>
      </c>
      <c r="E1671">
        <v>22946</v>
      </c>
      <c r="F1671">
        <v>0</v>
      </c>
    </row>
    <row r="1672" spans="1:6" x14ac:dyDescent="0.25">
      <c r="A1672" t="s">
        <v>98</v>
      </c>
      <c r="B1672" s="6">
        <v>45650</v>
      </c>
      <c r="C1672" t="s">
        <v>195</v>
      </c>
      <c r="D1672" t="s">
        <v>180</v>
      </c>
      <c r="E1672">
        <v>33820</v>
      </c>
      <c r="F1672">
        <v>602.47</v>
      </c>
    </row>
    <row r="1673" spans="1:6" x14ac:dyDescent="0.25">
      <c r="A1673" t="s">
        <v>98</v>
      </c>
      <c r="B1673" s="6">
        <v>45649</v>
      </c>
      <c r="C1673" t="s">
        <v>196</v>
      </c>
      <c r="D1673" t="s">
        <v>180</v>
      </c>
      <c r="E1673">
        <v>17927</v>
      </c>
      <c r="F1673">
        <v>590</v>
      </c>
    </row>
    <row r="1674" spans="1:6" x14ac:dyDescent="0.25">
      <c r="A1674" t="s">
        <v>98</v>
      </c>
      <c r="B1674" s="6">
        <v>45649</v>
      </c>
      <c r="C1674" t="s">
        <v>201</v>
      </c>
      <c r="D1674" t="s">
        <v>10</v>
      </c>
      <c r="E1674">
        <v>193717001</v>
      </c>
      <c r="F1674">
        <v>0</v>
      </c>
    </row>
    <row r="1675" spans="1:6" x14ac:dyDescent="0.25">
      <c r="A1675" t="s">
        <v>98</v>
      </c>
      <c r="B1675" s="6">
        <v>45649</v>
      </c>
      <c r="C1675" t="s">
        <v>201</v>
      </c>
      <c r="D1675" t="s">
        <v>180</v>
      </c>
      <c r="E1675">
        <v>475385</v>
      </c>
      <c r="F1675">
        <v>601.02120000000002</v>
      </c>
    </row>
    <row r="1676" spans="1:6" x14ac:dyDescent="0.25">
      <c r="A1676" t="s">
        <v>98</v>
      </c>
      <c r="B1676" s="6">
        <v>45649</v>
      </c>
      <c r="C1676" t="s">
        <v>201</v>
      </c>
      <c r="D1676" t="s">
        <v>180</v>
      </c>
      <c r="E1676">
        <v>475881</v>
      </c>
      <c r="F1676">
        <v>600.52809999999999</v>
      </c>
    </row>
    <row r="1677" spans="1:6" x14ac:dyDescent="0.25">
      <c r="A1677" t="s">
        <v>98</v>
      </c>
      <c r="B1677" s="6">
        <v>45649</v>
      </c>
      <c r="C1677" t="s">
        <v>201</v>
      </c>
      <c r="D1677" t="s">
        <v>180</v>
      </c>
      <c r="E1677">
        <v>0</v>
      </c>
      <c r="F1677">
        <v>601.01310000000001</v>
      </c>
    </row>
    <row r="1678" spans="1:6" x14ac:dyDescent="0.25">
      <c r="A1678" t="s">
        <v>98</v>
      </c>
      <c r="B1678" s="6">
        <v>45649</v>
      </c>
      <c r="C1678" t="s">
        <v>201</v>
      </c>
      <c r="D1678" t="s">
        <v>180</v>
      </c>
      <c r="E1678">
        <v>540</v>
      </c>
      <c r="F1678">
        <v>600.524</v>
      </c>
    </row>
    <row r="1679" spans="1:6" x14ac:dyDescent="0.25">
      <c r="A1679" t="s">
        <v>98</v>
      </c>
      <c r="B1679" s="6">
        <v>45649</v>
      </c>
      <c r="C1679" t="s">
        <v>201</v>
      </c>
      <c r="D1679" t="s">
        <v>10</v>
      </c>
      <c r="E1679">
        <v>22946</v>
      </c>
      <c r="F1679">
        <v>0</v>
      </c>
    </row>
    <row r="1680" spans="1:6" x14ac:dyDescent="0.25">
      <c r="A1680" t="s">
        <v>98</v>
      </c>
      <c r="B1680" s="6">
        <v>45646</v>
      </c>
      <c r="C1680" t="s">
        <v>201</v>
      </c>
      <c r="D1680" t="s">
        <v>10</v>
      </c>
      <c r="E1680">
        <v>193739947</v>
      </c>
      <c r="F1680">
        <v>0</v>
      </c>
    </row>
    <row r="1681" spans="1:6" x14ac:dyDescent="0.25">
      <c r="A1681" t="s">
        <v>98</v>
      </c>
      <c r="B1681" s="6">
        <v>45646</v>
      </c>
      <c r="C1681" t="s">
        <v>201</v>
      </c>
      <c r="D1681" t="s">
        <v>180</v>
      </c>
      <c r="E1681">
        <v>488360</v>
      </c>
      <c r="F1681">
        <v>602.47090000000003</v>
      </c>
    </row>
    <row r="1682" spans="1:6" x14ac:dyDescent="0.25">
      <c r="A1682" t="s">
        <v>98</v>
      </c>
      <c r="B1682" s="6">
        <v>45646</v>
      </c>
      <c r="C1682" t="s">
        <v>201</v>
      </c>
      <c r="D1682" t="s">
        <v>180</v>
      </c>
      <c r="E1682">
        <v>489680</v>
      </c>
      <c r="F1682">
        <v>601.43460000000005</v>
      </c>
    </row>
    <row r="1683" spans="1:6" x14ac:dyDescent="0.25">
      <c r="A1683" t="s">
        <v>98</v>
      </c>
      <c r="B1683" s="6">
        <v>45646</v>
      </c>
      <c r="C1683" t="s">
        <v>201</v>
      </c>
      <c r="D1683" t="s">
        <v>180</v>
      </c>
      <c r="E1683">
        <v>491014</v>
      </c>
      <c r="F1683">
        <v>600.38379999999995</v>
      </c>
    </row>
    <row r="1684" spans="1:6" x14ac:dyDescent="0.25">
      <c r="A1684" t="s">
        <v>98</v>
      </c>
      <c r="B1684" s="6">
        <v>45646</v>
      </c>
      <c r="C1684" t="s">
        <v>201</v>
      </c>
      <c r="D1684" t="s">
        <v>180</v>
      </c>
      <c r="E1684">
        <v>0</v>
      </c>
      <c r="F1684">
        <v>602.46849999999995</v>
      </c>
    </row>
    <row r="1685" spans="1:6" x14ac:dyDescent="0.25">
      <c r="A1685" t="s">
        <v>98</v>
      </c>
      <c r="B1685" s="6">
        <v>45646</v>
      </c>
      <c r="C1685" t="s">
        <v>201</v>
      </c>
      <c r="D1685" t="s">
        <v>180</v>
      </c>
      <c r="E1685">
        <v>2271</v>
      </c>
      <c r="F1685">
        <v>601.46519999999998</v>
      </c>
    </row>
    <row r="1686" spans="1:6" x14ac:dyDescent="0.25">
      <c r="A1686" t="s">
        <v>98</v>
      </c>
      <c r="B1686" s="6">
        <v>45646</v>
      </c>
      <c r="C1686" t="s">
        <v>201</v>
      </c>
      <c r="D1686" t="s">
        <v>180</v>
      </c>
      <c r="E1686">
        <v>4792</v>
      </c>
      <c r="F1686">
        <v>600.42439999999999</v>
      </c>
    </row>
    <row r="1687" spans="1:6" x14ac:dyDescent="0.25">
      <c r="A1687" t="s">
        <v>98</v>
      </c>
      <c r="B1687" s="6">
        <v>45646</v>
      </c>
      <c r="C1687" t="s">
        <v>201</v>
      </c>
      <c r="D1687" t="s">
        <v>10</v>
      </c>
      <c r="E1687">
        <v>6454</v>
      </c>
      <c r="F1687">
        <v>0</v>
      </c>
    </row>
    <row r="1688" spans="1:6" x14ac:dyDescent="0.25">
      <c r="A1688" t="s">
        <v>98</v>
      </c>
      <c r="B1688" s="6">
        <v>45645</v>
      </c>
      <c r="C1688" t="s">
        <v>201</v>
      </c>
      <c r="D1688" t="s">
        <v>10</v>
      </c>
      <c r="E1688">
        <v>193746401</v>
      </c>
      <c r="F1688">
        <v>0</v>
      </c>
    </row>
    <row r="1689" spans="1:6" x14ac:dyDescent="0.25">
      <c r="A1689" t="s">
        <v>98</v>
      </c>
      <c r="B1689" s="6">
        <v>45645</v>
      </c>
      <c r="C1689" t="s">
        <v>201</v>
      </c>
      <c r="D1689" t="s">
        <v>180</v>
      </c>
      <c r="E1689">
        <v>492006</v>
      </c>
      <c r="F1689">
        <v>610.36</v>
      </c>
    </row>
    <row r="1690" spans="1:6" x14ac:dyDescent="0.25">
      <c r="A1690" t="s">
        <v>98</v>
      </c>
      <c r="B1690" s="6">
        <v>45645</v>
      </c>
      <c r="C1690" t="s">
        <v>201</v>
      </c>
      <c r="D1690" t="s">
        <v>180</v>
      </c>
      <c r="E1690">
        <v>492102</v>
      </c>
      <c r="F1690">
        <v>609.52909999999997</v>
      </c>
    </row>
    <row r="1691" spans="1:6" x14ac:dyDescent="0.25">
      <c r="A1691" t="s">
        <v>98</v>
      </c>
      <c r="B1691" s="6">
        <v>45645</v>
      </c>
      <c r="C1691" t="s">
        <v>201</v>
      </c>
      <c r="D1691" t="s">
        <v>180</v>
      </c>
      <c r="E1691">
        <v>492298</v>
      </c>
      <c r="F1691">
        <v>607.09169999999995</v>
      </c>
    </row>
    <row r="1692" spans="1:6" x14ac:dyDescent="0.25">
      <c r="A1692" t="s">
        <v>98</v>
      </c>
      <c r="B1692" s="6">
        <v>45645</v>
      </c>
      <c r="C1692" t="s">
        <v>201</v>
      </c>
      <c r="D1692" t="s">
        <v>180</v>
      </c>
      <c r="E1692">
        <v>493109</v>
      </c>
      <c r="F1692">
        <v>606.06240000000003</v>
      </c>
    </row>
    <row r="1693" spans="1:6" x14ac:dyDescent="0.25">
      <c r="A1693" t="s">
        <v>98</v>
      </c>
      <c r="B1693" s="6">
        <v>45645</v>
      </c>
      <c r="C1693" t="s">
        <v>201</v>
      </c>
      <c r="D1693" t="s">
        <v>180</v>
      </c>
      <c r="E1693">
        <v>493949</v>
      </c>
      <c r="F1693">
        <v>605.09320000000002</v>
      </c>
    </row>
    <row r="1694" spans="1:6" x14ac:dyDescent="0.25">
      <c r="A1694" t="s">
        <v>98</v>
      </c>
      <c r="B1694" s="6">
        <v>45645</v>
      </c>
      <c r="C1694" t="s">
        <v>201</v>
      </c>
      <c r="D1694" t="s">
        <v>180</v>
      </c>
      <c r="E1694">
        <v>495929</v>
      </c>
      <c r="F1694">
        <v>604.17899999999997</v>
      </c>
    </row>
    <row r="1695" spans="1:6" x14ac:dyDescent="0.25">
      <c r="A1695" t="s">
        <v>98</v>
      </c>
      <c r="B1695" s="6">
        <v>45645</v>
      </c>
      <c r="C1695" t="s">
        <v>201</v>
      </c>
      <c r="D1695" t="s">
        <v>180</v>
      </c>
      <c r="E1695">
        <v>498410</v>
      </c>
      <c r="F1695">
        <v>602.99519999999995</v>
      </c>
    </row>
    <row r="1696" spans="1:6" x14ac:dyDescent="0.25">
      <c r="A1696" t="s">
        <v>98</v>
      </c>
      <c r="B1696" s="6">
        <v>45645</v>
      </c>
      <c r="C1696" t="s">
        <v>201</v>
      </c>
      <c r="D1696" t="s">
        <v>180</v>
      </c>
      <c r="E1696">
        <v>500393</v>
      </c>
      <c r="F1696">
        <v>601.86120000000005</v>
      </c>
    </row>
    <row r="1697" spans="1:6" x14ac:dyDescent="0.25">
      <c r="A1697" t="s">
        <v>98</v>
      </c>
      <c r="B1697" s="6">
        <v>45645</v>
      </c>
      <c r="C1697" t="s">
        <v>201</v>
      </c>
      <c r="D1697" t="s">
        <v>180</v>
      </c>
      <c r="E1697">
        <v>502774</v>
      </c>
      <c r="F1697">
        <v>600.79780000000005</v>
      </c>
    </row>
    <row r="1698" spans="1:6" x14ac:dyDescent="0.25">
      <c r="A1698" t="s">
        <v>98</v>
      </c>
      <c r="B1698" s="6">
        <v>45645</v>
      </c>
      <c r="C1698" t="s">
        <v>201</v>
      </c>
      <c r="D1698" t="s">
        <v>180</v>
      </c>
      <c r="E1698">
        <v>0</v>
      </c>
      <c r="F1698">
        <v>610.351</v>
      </c>
    </row>
    <row r="1699" spans="1:6" x14ac:dyDescent="0.25">
      <c r="A1699" t="s">
        <v>98</v>
      </c>
      <c r="B1699" s="6">
        <v>45645</v>
      </c>
      <c r="C1699" t="s">
        <v>201</v>
      </c>
      <c r="D1699" t="s">
        <v>180</v>
      </c>
      <c r="E1699">
        <v>192</v>
      </c>
      <c r="F1699">
        <v>609.17769999999996</v>
      </c>
    </row>
    <row r="1700" spans="1:6" x14ac:dyDescent="0.25">
      <c r="A1700" t="s">
        <v>98</v>
      </c>
      <c r="B1700" s="6">
        <v>45645</v>
      </c>
      <c r="C1700" t="s">
        <v>201</v>
      </c>
      <c r="D1700" t="s">
        <v>180</v>
      </c>
      <c r="E1700">
        <v>582</v>
      </c>
      <c r="F1700">
        <v>607.50360000000001</v>
      </c>
    </row>
    <row r="1701" spans="1:6" x14ac:dyDescent="0.25">
      <c r="A1701" t="s">
        <v>98</v>
      </c>
      <c r="B1701" s="6">
        <v>45645</v>
      </c>
      <c r="C1701" t="s">
        <v>201</v>
      </c>
      <c r="D1701" t="s">
        <v>180</v>
      </c>
      <c r="E1701">
        <v>872</v>
      </c>
      <c r="F1701">
        <v>606.59400000000005</v>
      </c>
    </row>
    <row r="1702" spans="1:6" x14ac:dyDescent="0.25">
      <c r="A1702" t="s">
        <v>98</v>
      </c>
      <c r="B1702" s="6">
        <v>45645</v>
      </c>
      <c r="C1702" t="s">
        <v>201</v>
      </c>
      <c r="D1702" t="s">
        <v>180</v>
      </c>
      <c r="E1702">
        <v>2439</v>
      </c>
      <c r="F1702">
        <v>605.65470000000005</v>
      </c>
    </row>
    <row r="1703" spans="1:6" x14ac:dyDescent="0.25">
      <c r="A1703" t="s">
        <v>98</v>
      </c>
      <c r="B1703" s="6">
        <v>45645</v>
      </c>
      <c r="C1703" t="s">
        <v>201</v>
      </c>
      <c r="D1703" t="s">
        <v>180</v>
      </c>
      <c r="E1703">
        <v>5216</v>
      </c>
      <c r="F1703">
        <v>604.59879999999998</v>
      </c>
    </row>
    <row r="1704" spans="1:6" x14ac:dyDescent="0.25">
      <c r="A1704" t="s">
        <v>98</v>
      </c>
      <c r="B1704" s="6">
        <v>45645</v>
      </c>
      <c r="C1704" t="s">
        <v>201</v>
      </c>
      <c r="D1704" t="s">
        <v>180</v>
      </c>
      <c r="E1704">
        <v>9128</v>
      </c>
      <c r="F1704">
        <v>603.56569999999999</v>
      </c>
    </row>
    <row r="1705" spans="1:6" x14ac:dyDescent="0.25">
      <c r="A1705" t="s">
        <v>98</v>
      </c>
      <c r="B1705" s="6">
        <v>45645</v>
      </c>
      <c r="C1705" t="s">
        <v>201</v>
      </c>
      <c r="D1705" t="s">
        <v>180</v>
      </c>
      <c r="E1705">
        <v>12682</v>
      </c>
      <c r="F1705">
        <v>602.57899999999995</v>
      </c>
    </row>
    <row r="1706" spans="1:6" x14ac:dyDescent="0.25">
      <c r="A1706" t="s">
        <v>98</v>
      </c>
      <c r="B1706" s="6">
        <v>45645</v>
      </c>
      <c r="C1706" t="s">
        <v>201</v>
      </c>
      <c r="D1706" t="s">
        <v>180</v>
      </c>
      <c r="E1706">
        <v>16285</v>
      </c>
      <c r="F1706">
        <v>601.6037</v>
      </c>
    </row>
    <row r="1707" spans="1:6" x14ac:dyDescent="0.25">
      <c r="A1707" t="s">
        <v>98</v>
      </c>
      <c r="B1707" s="6">
        <v>45645</v>
      </c>
      <c r="C1707" t="s">
        <v>201</v>
      </c>
      <c r="D1707" t="s">
        <v>180</v>
      </c>
      <c r="E1707">
        <v>19127</v>
      </c>
      <c r="F1707">
        <v>600.67660000000001</v>
      </c>
    </row>
    <row r="1708" spans="1:6" x14ac:dyDescent="0.25">
      <c r="A1708" t="s">
        <v>98</v>
      </c>
      <c r="B1708" s="6">
        <v>45645</v>
      </c>
      <c r="C1708" t="s">
        <v>201</v>
      </c>
      <c r="D1708" t="s">
        <v>10</v>
      </c>
      <c r="E1708">
        <v>20957</v>
      </c>
      <c r="F1708">
        <v>0</v>
      </c>
    </row>
    <row r="1709" spans="1:6" x14ac:dyDescent="0.25">
      <c r="A1709" t="s">
        <v>98</v>
      </c>
      <c r="B1709" s="6">
        <v>45644</v>
      </c>
      <c r="C1709" t="s">
        <v>201</v>
      </c>
      <c r="D1709" t="s">
        <v>10</v>
      </c>
      <c r="E1709">
        <v>193767358</v>
      </c>
      <c r="F1709">
        <v>0</v>
      </c>
    </row>
    <row r="1710" spans="1:6" x14ac:dyDescent="0.25">
      <c r="A1710" t="s">
        <v>98</v>
      </c>
      <c r="B1710" s="6">
        <v>45644</v>
      </c>
      <c r="C1710" t="s">
        <v>201</v>
      </c>
      <c r="D1710" t="s">
        <v>180</v>
      </c>
      <c r="E1710">
        <v>0</v>
      </c>
      <c r="F1710">
        <v>626.54790000000003</v>
      </c>
    </row>
    <row r="1711" spans="1:6" x14ac:dyDescent="0.25">
      <c r="A1711" t="s">
        <v>98</v>
      </c>
      <c r="B1711" s="6">
        <v>45644</v>
      </c>
      <c r="C1711" t="s">
        <v>201</v>
      </c>
      <c r="D1711" t="s">
        <v>180</v>
      </c>
      <c r="E1711">
        <v>212</v>
      </c>
      <c r="F1711">
        <v>625.82470000000001</v>
      </c>
    </row>
    <row r="1712" spans="1:6" x14ac:dyDescent="0.25">
      <c r="A1712" t="s">
        <v>98</v>
      </c>
      <c r="B1712" s="6">
        <v>45644</v>
      </c>
      <c r="C1712" t="s">
        <v>201</v>
      </c>
      <c r="D1712" t="s">
        <v>180</v>
      </c>
      <c r="E1712">
        <v>652</v>
      </c>
      <c r="F1712">
        <v>624.59469999999999</v>
      </c>
    </row>
    <row r="1713" spans="1:6" x14ac:dyDescent="0.25">
      <c r="A1713" t="s">
        <v>98</v>
      </c>
      <c r="B1713" s="6">
        <v>45644</v>
      </c>
      <c r="C1713" t="s">
        <v>201</v>
      </c>
      <c r="D1713" t="s">
        <v>180</v>
      </c>
      <c r="E1713">
        <v>2120</v>
      </c>
      <c r="F1713">
        <v>623.74829999999997</v>
      </c>
    </row>
    <row r="1714" spans="1:6" x14ac:dyDescent="0.25">
      <c r="A1714" t="s">
        <v>98</v>
      </c>
      <c r="B1714" s="6">
        <v>45644</v>
      </c>
      <c r="C1714" t="s">
        <v>201</v>
      </c>
      <c r="D1714" t="s">
        <v>180</v>
      </c>
      <c r="E1714">
        <v>4291</v>
      </c>
      <c r="F1714">
        <v>622.61019999999996</v>
      </c>
    </row>
    <row r="1715" spans="1:6" x14ac:dyDescent="0.25">
      <c r="A1715" t="s">
        <v>98</v>
      </c>
      <c r="B1715" s="6">
        <v>45644</v>
      </c>
      <c r="C1715" t="s">
        <v>201</v>
      </c>
      <c r="D1715" t="s">
        <v>180</v>
      </c>
      <c r="E1715">
        <v>7095</v>
      </c>
      <c r="F1715">
        <v>621.66650000000004</v>
      </c>
    </row>
    <row r="1716" spans="1:6" x14ac:dyDescent="0.25">
      <c r="A1716" t="s">
        <v>98</v>
      </c>
      <c r="B1716" s="6">
        <v>45644</v>
      </c>
      <c r="C1716" t="s">
        <v>201</v>
      </c>
      <c r="D1716" t="s">
        <v>180</v>
      </c>
      <c r="E1716">
        <v>9521</v>
      </c>
      <c r="F1716">
        <v>620.66139999999996</v>
      </c>
    </row>
    <row r="1717" spans="1:6" x14ac:dyDescent="0.25">
      <c r="A1717" t="s">
        <v>98</v>
      </c>
      <c r="B1717" s="6">
        <v>45644</v>
      </c>
      <c r="C1717" t="s">
        <v>201</v>
      </c>
      <c r="D1717" t="s">
        <v>180</v>
      </c>
      <c r="E1717">
        <v>11975</v>
      </c>
      <c r="F1717">
        <v>619.56550000000004</v>
      </c>
    </row>
    <row r="1718" spans="1:6" x14ac:dyDescent="0.25">
      <c r="A1718" t="s">
        <v>98</v>
      </c>
      <c r="B1718" s="6">
        <v>45644</v>
      </c>
      <c r="C1718" t="s">
        <v>201</v>
      </c>
      <c r="D1718" t="s">
        <v>180</v>
      </c>
      <c r="E1718">
        <v>13773</v>
      </c>
      <c r="F1718">
        <v>618.59140000000002</v>
      </c>
    </row>
    <row r="1719" spans="1:6" x14ac:dyDescent="0.25">
      <c r="A1719" t="s">
        <v>98</v>
      </c>
      <c r="B1719" s="6">
        <v>45644</v>
      </c>
      <c r="C1719" t="s">
        <v>201</v>
      </c>
      <c r="D1719" t="s">
        <v>180</v>
      </c>
      <c r="E1719">
        <v>15337</v>
      </c>
      <c r="F1719">
        <v>617.75459999999998</v>
      </c>
    </row>
    <row r="1720" spans="1:6" x14ac:dyDescent="0.25">
      <c r="A1720" t="s">
        <v>98</v>
      </c>
      <c r="B1720" s="6">
        <v>45644</v>
      </c>
      <c r="C1720" t="s">
        <v>201</v>
      </c>
      <c r="D1720" t="s">
        <v>180</v>
      </c>
      <c r="E1720">
        <v>16857</v>
      </c>
      <c r="F1720">
        <v>615.83150000000001</v>
      </c>
    </row>
    <row r="1721" spans="1:6" x14ac:dyDescent="0.25">
      <c r="A1721" t="s">
        <v>98</v>
      </c>
      <c r="B1721" s="6">
        <v>45644</v>
      </c>
      <c r="C1721" t="s">
        <v>201</v>
      </c>
      <c r="D1721" t="s">
        <v>180</v>
      </c>
      <c r="E1721">
        <v>17413</v>
      </c>
      <c r="F1721">
        <v>614.29420000000005</v>
      </c>
    </row>
    <row r="1722" spans="1:6" x14ac:dyDescent="0.25">
      <c r="A1722" t="s">
        <v>98</v>
      </c>
      <c r="B1722" s="6">
        <v>45644</v>
      </c>
      <c r="C1722" t="s">
        <v>201</v>
      </c>
      <c r="D1722" t="s">
        <v>180</v>
      </c>
      <c r="E1722">
        <v>18193</v>
      </c>
      <c r="F1722">
        <v>613.01750000000004</v>
      </c>
    </row>
    <row r="1723" spans="1:6" x14ac:dyDescent="0.25">
      <c r="A1723" t="s">
        <v>98</v>
      </c>
      <c r="B1723" s="6">
        <v>45644</v>
      </c>
      <c r="C1723" t="s">
        <v>201</v>
      </c>
      <c r="D1723" t="s">
        <v>180</v>
      </c>
      <c r="E1723">
        <v>18593</v>
      </c>
      <c r="F1723">
        <v>611.85810000000004</v>
      </c>
    </row>
    <row r="1724" spans="1:6" x14ac:dyDescent="0.25">
      <c r="A1724" t="s">
        <v>98</v>
      </c>
      <c r="B1724" s="6">
        <v>45644</v>
      </c>
      <c r="C1724" t="s">
        <v>201</v>
      </c>
      <c r="D1724" t="s">
        <v>180</v>
      </c>
      <c r="E1724">
        <v>19263</v>
      </c>
      <c r="F1724">
        <v>610.60969999999998</v>
      </c>
    </row>
    <row r="1725" spans="1:6" x14ac:dyDescent="0.25">
      <c r="A1725" t="s">
        <v>98</v>
      </c>
      <c r="B1725" s="6">
        <v>45644</v>
      </c>
      <c r="C1725" t="s">
        <v>201</v>
      </c>
      <c r="D1725" t="s">
        <v>180</v>
      </c>
      <c r="E1725">
        <v>20063</v>
      </c>
      <c r="F1725">
        <v>608.81089999999995</v>
      </c>
    </row>
    <row r="1726" spans="1:6" x14ac:dyDescent="0.25">
      <c r="A1726" t="s">
        <v>98</v>
      </c>
      <c r="B1726" s="6">
        <v>45644</v>
      </c>
      <c r="C1726" t="s">
        <v>201</v>
      </c>
      <c r="D1726" t="s">
        <v>180</v>
      </c>
      <c r="E1726">
        <v>20443</v>
      </c>
      <c r="F1726">
        <v>605.53</v>
      </c>
    </row>
    <row r="1727" spans="1:6" x14ac:dyDescent="0.25">
      <c r="A1727" t="s">
        <v>98</v>
      </c>
      <c r="B1727" s="6">
        <v>45644</v>
      </c>
      <c r="C1727" t="s">
        <v>201</v>
      </c>
      <c r="D1727" t="s">
        <v>180</v>
      </c>
      <c r="E1727">
        <v>20543</v>
      </c>
      <c r="F1727">
        <v>603.49</v>
      </c>
    </row>
    <row r="1728" spans="1:6" x14ac:dyDescent="0.25">
      <c r="A1728" t="s">
        <v>98</v>
      </c>
      <c r="B1728" s="6">
        <v>45644</v>
      </c>
      <c r="C1728" t="s">
        <v>201</v>
      </c>
      <c r="D1728" t="s">
        <v>180</v>
      </c>
      <c r="E1728">
        <v>20643</v>
      </c>
      <c r="F1728">
        <v>602.45619999999997</v>
      </c>
    </row>
    <row r="1729" spans="1:6" x14ac:dyDescent="0.25">
      <c r="A1729" t="s">
        <v>98</v>
      </c>
      <c r="B1729" s="6">
        <v>45644</v>
      </c>
      <c r="C1729" t="s">
        <v>201</v>
      </c>
      <c r="D1729" t="s">
        <v>180</v>
      </c>
      <c r="E1729">
        <v>20933</v>
      </c>
      <c r="F1729">
        <v>601.92229999999995</v>
      </c>
    </row>
    <row r="1730" spans="1:6" x14ac:dyDescent="0.25">
      <c r="A1730" t="s">
        <v>98</v>
      </c>
      <c r="B1730" s="6">
        <v>45644</v>
      </c>
      <c r="C1730" t="s">
        <v>201</v>
      </c>
      <c r="D1730" t="s">
        <v>180</v>
      </c>
      <c r="E1730">
        <v>21420</v>
      </c>
      <c r="F1730">
        <v>600.81899999999996</v>
      </c>
    </row>
    <row r="1731" spans="1:6" x14ac:dyDescent="0.25">
      <c r="A1731" t="s">
        <v>98</v>
      </c>
      <c r="B1731" s="6">
        <v>45644</v>
      </c>
      <c r="C1731" t="s">
        <v>201</v>
      </c>
      <c r="D1731" t="s">
        <v>10</v>
      </c>
      <c r="E1731">
        <v>22035</v>
      </c>
      <c r="F1731">
        <v>0</v>
      </c>
    </row>
    <row r="1732" spans="1:6" x14ac:dyDescent="0.25">
      <c r="A1732" t="s">
        <v>98</v>
      </c>
      <c r="B1732" s="6">
        <v>45644</v>
      </c>
      <c r="C1732" t="s">
        <v>201</v>
      </c>
      <c r="D1732" t="s">
        <v>180</v>
      </c>
      <c r="E1732">
        <v>503842</v>
      </c>
      <c r="F1732">
        <v>626.29110000000003</v>
      </c>
    </row>
    <row r="1733" spans="1:6" x14ac:dyDescent="0.25">
      <c r="A1733" t="s">
        <v>98</v>
      </c>
      <c r="B1733" s="6">
        <v>45644</v>
      </c>
      <c r="C1733" t="s">
        <v>201</v>
      </c>
      <c r="D1733" t="s">
        <v>180</v>
      </c>
      <c r="E1733">
        <v>504234</v>
      </c>
      <c r="F1733">
        <v>624.64660000000003</v>
      </c>
    </row>
    <row r="1734" spans="1:6" x14ac:dyDescent="0.25">
      <c r="A1734" t="s">
        <v>98</v>
      </c>
      <c r="B1734" s="6">
        <v>45644</v>
      </c>
      <c r="C1734" t="s">
        <v>201</v>
      </c>
      <c r="D1734" t="s">
        <v>180</v>
      </c>
      <c r="E1734">
        <v>504765</v>
      </c>
      <c r="F1734">
        <v>623.80029999999999</v>
      </c>
    </row>
    <row r="1735" spans="1:6" x14ac:dyDescent="0.25">
      <c r="A1735" t="s">
        <v>98</v>
      </c>
      <c r="B1735" s="6">
        <v>45644</v>
      </c>
      <c r="C1735" t="s">
        <v>201</v>
      </c>
      <c r="D1735" t="s">
        <v>180</v>
      </c>
      <c r="E1735">
        <v>506482</v>
      </c>
      <c r="F1735">
        <v>622.51769999999999</v>
      </c>
    </row>
    <row r="1736" spans="1:6" x14ac:dyDescent="0.25">
      <c r="A1736" t="s">
        <v>98</v>
      </c>
      <c r="B1736" s="6">
        <v>45644</v>
      </c>
      <c r="C1736" t="s">
        <v>201</v>
      </c>
      <c r="D1736" t="s">
        <v>180</v>
      </c>
      <c r="E1736">
        <v>508038</v>
      </c>
      <c r="F1736">
        <v>621.52279999999996</v>
      </c>
    </row>
    <row r="1737" spans="1:6" x14ac:dyDescent="0.25">
      <c r="A1737" t="s">
        <v>98</v>
      </c>
      <c r="B1737" s="6">
        <v>45644</v>
      </c>
      <c r="C1737" t="s">
        <v>201</v>
      </c>
      <c r="D1737" t="s">
        <v>180</v>
      </c>
      <c r="E1737">
        <v>509441</v>
      </c>
      <c r="F1737">
        <v>620.59010000000001</v>
      </c>
    </row>
    <row r="1738" spans="1:6" x14ac:dyDescent="0.25">
      <c r="A1738" t="s">
        <v>98</v>
      </c>
      <c r="B1738" s="6">
        <v>45644</v>
      </c>
      <c r="C1738" t="s">
        <v>201</v>
      </c>
      <c r="D1738" t="s">
        <v>180</v>
      </c>
      <c r="E1738">
        <v>510463</v>
      </c>
      <c r="F1738">
        <v>619.53710000000001</v>
      </c>
    </row>
    <row r="1739" spans="1:6" x14ac:dyDescent="0.25">
      <c r="A1739" t="s">
        <v>98</v>
      </c>
      <c r="B1739" s="6">
        <v>45644</v>
      </c>
      <c r="C1739" t="s">
        <v>201</v>
      </c>
      <c r="D1739" t="s">
        <v>180</v>
      </c>
      <c r="E1739">
        <v>511935</v>
      </c>
      <c r="F1739">
        <v>617.95439999999996</v>
      </c>
    </row>
    <row r="1740" spans="1:6" x14ac:dyDescent="0.25">
      <c r="A1740" t="s">
        <v>98</v>
      </c>
      <c r="B1740" s="6">
        <v>45644</v>
      </c>
      <c r="C1740" t="s">
        <v>201</v>
      </c>
      <c r="D1740" t="s">
        <v>180</v>
      </c>
      <c r="E1740">
        <v>513354</v>
      </c>
      <c r="F1740">
        <v>616.02509999999995</v>
      </c>
    </row>
    <row r="1741" spans="1:6" x14ac:dyDescent="0.25">
      <c r="A1741" t="s">
        <v>98</v>
      </c>
      <c r="B1741" s="6">
        <v>45644</v>
      </c>
      <c r="C1741" t="s">
        <v>201</v>
      </c>
      <c r="D1741" t="s">
        <v>180</v>
      </c>
      <c r="E1741">
        <v>513850</v>
      </c>
      <c r="F1741">
        <v>614.32500000000005</v>
      </c>
    </row>
    <row r="1742" spans="1:6" x14ac:dyDescent="0.25">
      <c r="A1742" t="s">
        <v>98</v>
      </c>
      <c r="B1742" s="6">
        <v>45644</v>
      </c>
      <c r="C1742" t="s">
        <v>201</v>
      </c>
      <c r="D1742" t="s">
        <v>180</v>
      </c>
      <c r="E1742">
        <v>514050</v>
      </c>
      <c r="F1742">
        <v>613.23720000000003</v>
      </c>
    </row>
    <row r="1743" spans="1:6" x14ac:dyDescent="0.25">
      <c r="A1743" t="s">
        <v>98</v>
      </c>
      <c r="B1743" s="6">
        <v>45644</v>
      </c>
      <c r="C1743" t="s">
        <v>201</v>
      </c>
      <c r="D1743" t="s">
        <v>180</v>
      </c>
      <c r="E1743">
        <v>514415</v>
      </c>
      <c r="F1743">
        <v>611.79999999999995</v>
      </c>
    </row>
    <row r="1744" spans="1:6" x14ac:dyDescent="0.25">
      <c r="A1744" t="s">
        <v>98</v>
      </c>
      <c r="B1744" s="6">
        <v>45644</v>
      </c>
      <c r="C1744" t="s">
        <v>201</v>
      </c>
      <c r="D1744" t="s">
        <v>180</v>
      </c>
      <c r="E1744">
        <v>514615</v>
      </c>
      <c r="F1744">
        <v>610.94119999999998</v>
      </c>
    </row>
    <row r="1745" spans="1:6" x14ac:dyDescent="0.25">
      <c r="A1745" t="s">
        <v>98</v>
      </c>
      <c r="B1745" s="6">
        <v>45644</v>
      </c>
      <c r="C1745" t="s">
        <v>201</v>
      </c>
      <c r="D1745" t="s">
        <v>180</v>
      </c>
      <c r="E1745">
        <v>515095</v>
      </c>
      <c r="F1745">
        <v>609.27449999999999</v>
      </c>
    </row>
    <row r="1746" spans="1:6" x14ac:dyDescent="0.25">
      <c r="A1746" t="s">
        <v>98</v>
      </c>
      <c r="B1746" s="6">
        <v>45644</v>
      </c>
      <c r="C1746" t="s">
        <v>201</v>
      </c>
      <c r="D1746" t="s">
        <v>180</v>
      </c>
      <c r="E1746">
        <v>515387</v>
      </c>
      <c r="F1746">
        <v>605.62</v>
      </c>
    </row>
    <row r="1747" spans="1:6" x14ac:dyDescent="0.25">
      <c r="A1747" t="s">
        <v>98</v>
      </c>
      <c r="B1747" s="6">
        <v>45644</v>
      </c>
      <c r="C1747" t="s">
        <v>201</v>
      </c>
      <c r="D1747" t="s">
        <v>180</v>
      </c>
      <c r="E1747">
        <v>515487</v>
      </c>
      <c r="F1747">
        <v>602.83749999999998</v>
      </c>
    </row>
    <row r="1748" spans="1:6" x14ac:dyDescent="0.25">
      <c r="A1748" t="s">
        <v>98</v>
      </c>
      <c r="B1748" s="6">
        <v>45644</v>
      </c>
      <c r="C1748" t="s">
        <v>201</v>
      </c>
      <c r="D1748" t="s">
        <v>180</v>
      </c>
      <c r="E1748">
        <v>515779</v>
      </c>
      <c r="F1748">
        <v>601.24549999999999</v>
      </c>
    </row>
    <row r="1749" spans="1:6" x14ac:dyDescent="0.25">
      <c r="A1749" t="s">
        <v>98</v>
      </c>
      <c r="B1749" s="6">
        <v>45643</v>
      </c>
      <c r="C1749" t="s">
        <v>195</v>
      </c>
      <c r="D1749" t="s">
        <v>180</v>
      </c>
      <c r="E1749">
        <v>34725</v>
      </c>
      <c r="F1749">
        <v>626.66</v>
      </c>
    </row>
    <row r="1750" spans="1:6" x14ac:dyDescent="0.25">
      <c r="A1750" t="s">
        <v>98</v>
      </c>
      <c r="B1750" s="6">
        <v>45643</v>
      </c>
      <c r="C1750" t="s">
        <v>201</v>
      </c>
      <c r="D1750" t="s">
        <v>10</v>
      </c>
      <c r="E1750">
        <v>193789393</v>
      </c>
      <c r="F1750">
        <v>0</v>
      </c>
    </row>
    <row r="1751" spans="1:6" x14ac:dyDescent="0.25">
      <c r="A1751" t="s">
        <v>98</v>
      </c>
      <c r="B1751" s="6">
        <v>45643</v>
      </c>
      <c r="C1751" t="s">
        <v>201</v>
      </c>
      <c r="D1751" t="s">
        <v>180</v>
      </c>
      <c r="E1751">
        <v>516279</v>
      </c>
      <c r="F1751">
        <v>631.9</v>
      </c>
    </row>
    <row r="1752" spans="1:6" x14ac:dyDescent="0.25">
      <c r="A1752" t="s">
        <v>98</v>
      </c>
      <c r="B1752" s="6">
        <v>45643</v>
      </c>
      <c r="C1752" t="s">
        <v>201</v>
      </c>
      <c r="D1752" t="s">
        <v>180</v>
      </c>
      <c r="E1752">
        <v>516479</v>
      </c>
      <c r="F1752">
        <v>630.77</v>
      </c>
    </row>
    <row r="1753" spans="1:6" x14ac:dyDescent="0.25">
      <c r="A1753" t="s">
        <v>98</v>
      </c>
      <c r="B1753" s="6">
        <v>45643</v>
      </c>
      <c r="C1753" t="s">
        <v>201</v>
      </c>
      <c r="D1753" t="s">
        <v>180</v>
      </c>
      <c r="E1753">
        <v>516579</v>
      </c>
      <c r="F1753">
        <v>628.87329999999997</v>
      </c>
    </row>
    <row r="1754" spans="1:6" x14ac:dyDescent="0.25">
      <c r="A1754" t="s">
        <v>98</v>
      </c>
      <c r="B1754" s="6">
        <v>45643</v>
      </c>
      <c r="C1754" t="s">
        <v>201</v>
      </c>
      <c r="D1754" t="s">
        <v>180</v>
      </c>
      <c r="E1754">
        <v>516775</v>
      </c>
      <c r="F1754">
        <v>627.53570000000002</v>
      </c>
    </row>
    <row r="1755" spans="1:6" x14ac:dyDescent="0.25">
      <c r="A1755" t="s">
        <v>98</v>
      </c>
      <c r="B1755" s="6">
        <v>45643</v>
      </c>
      <c r="C1755" t="s">
        <v>201</v>
      </c>
      <c r="D1755" t="s">
        <v>180</v>
      </c>
      <c r="E1755">
        <v>517235</v>
      </c>
      <c r="F1755">
        <v>626.17679999999996</v>
      </c>
    </row>
    <row r="1756" spans="1:6" x14ac:dyDescent="0.25">
      <c r="A1756" t="s">
        <v>98</v>
      </c>
      <c r="B1756" s="6">
        <v>45643</v>
      </c>
      <c r="C1756" t="s">
        <v>201</v>
      </c>
      <c r="D1756" t="s">
        <v>180</v>
      </c>
      <c r="E1756">
        <v>518167</v>
      </c>
      <c r="F1756">
        <v>625.32780000000002</v>
      </c>
    </row>
    <row r="1757" spans="1:6" x14ac:dyDescent="0.25">
      <c r="A1757" t="s">
        <v>98</v>
      </c>
      <c r="B1757" s="6">
        <v>45643</v>
      </c>
      <c r="C1757" t="s">
        <v>201</v>
      </c>
      <c r="D1757" t="s">
        <v>180</v>
      </c>
      <c r="E1757">
        <v>518830</v>
      </c>
      <c r="F1757">
        <v>624.01969999999994</v>
      </c>
    </row>
    <row r="1758" spans="1:6" x14ac:dyDescent="0.25">
      <c r="A1758" t="s">
        <v>98</v>
      </c>
      <c r="B1758" s="6">
        <v>45643</v>
      </c>
      <c r="C1758" t="s">
        <v>201</v>
      </c>
      <c r="D1758" t="s">
        <v>180</v>
      </c>
      <c r="E1758">
        <v>519735</v>
      </c>
      <c r="F1758">
        <v>623.10910000000001</v>
      </c>
    </row>
    <row r="1759" spans="1:6" x14ac:dyDescent="0.25">
      <c r="A1759" t="s">
        <v>98</v>
      </c>
      <c r="B1759" s="6">
        <v>45643</v>
      </c>
      <c r="C1759" t="s">
        <v>201</v>
      </c>
      <c r="D1759" t="s">
        <v>180</v>
      </c>
      <c r="E1759">
        <v>521346</v>
      </c>
      <c r="F1759">
        <v>622.11879999999996</v>
      </c>
    </row>
    <row r="1760" spans="1:6" x14ac:dyDescent="0.25">
      <c r="A1760" t="s">
        <v>98</v>
      </c>
      <c r="B1760" s="6">
        <v>45643</v>
      </c>
      <c r="C1760" t="s">
        <v>201</v>
      </c>
      <c r="D1760" t="s">
        <v>180</v>
      </c>
      <c r="E1760">
        <v>523498</v>
      </c>
      <c r="F1760">
        <v>620.79870000000005</v>
      </c>
    </row>
    <row r="1761" spans="1:6" x14ac:dyDescent="0.25">
      <c r="A1761" t="s">
        <v>98</v>
      </c>
      <c r="B1761" s="6">
        <v>45643</v>
      </c>
      <c r="C1761" t="s">
        <v>201</v>
      </c>
      <c r="D1761" t="s">
        <v>180</v>
      </c>
      <c r="E1761">
        <v>524367</v>
      </c>
      <c r="F1761">
        <v>619.91800000000001</v>
      </c>
    </row>
    <row r="1762" spans="1:6" x14ac:dyDescent="0.25">
      <c r="A1762" t="s">
        <v>98</v>
      </c>
      <c r="B1762" s="6">
        <v>45643</v>
      </c>
      <c r="C1762" t="s">
        <v>201</v>
      </c>
      <c r="D1762" t="s">
        <v>180</v>
      </c>
      <c r="E1762">
        <v>527237</v>
      </c>
      <c r="F1762">
        <v>618.71220000000005</v>
      </c>
    </row>
    <row r="1763" spans="1:6" x14ac:dyDescent="0.25">
      <c r="A1763" t="s">
        <v>98</v>
      </c>
      <c r="B1763" s="6">
        <v>45643</v>
      </c>
      <c r="C1763" t="s">
        <v>201</v>
      </c>
      <c r="D1763" t="s">
        <v>180</v>
      </c>
      <c r="E1763">
        <v>528678</v>
      </c>
      <c r="F1763">
        <v>617.69910000000004</v>
      </c>
    </row>
    <row r="1764" spans="1:6" x14ac:dyDescent="0.25">
      <c r="A1764" t="s">
        <v>98</v>
      </c>
      <c r="B1764" s="6">
        <v>45643</v>
      </c>
      <c r="C1764" t="s">
        <v>201</v>
      </c>
      <c r="D1764" t="s">
        <v>180</v>
      </c>
      <c r="E1764">
        <v>0</v>
      </c>
      <c r="F1764">
        <v>631.2645</v>
      </c>
    </row>
    <row r="1765" spans="1:6" x14ac:dyDescent="0.25">
      <c r="A1765" t="s">
        <v>98</v>
      </c>
      <c r="B1765" s="6">
        <v>45643</v>
      </c>
      <c r="C1765" t="s">
        <v>201</v>
      </c>
      <c r="D1765" t="s">
        <v>180</v>
      </c>
      <c r="E1765">
        <v>310</v>
      </c>
      <c r="F1765">
        <v>628.8442</v>
      </c>
    </row>
    <row r="1766" spans="1:6" x14ac:dyDescent="0.25">
      <c r="A1766" t="s">
        <v>98</v>
      </c>
      <c r="B1766" s="6">
        <v>45643</v>
      </c>
      <c r="C1766" t="s">
        <v>201</v>
      </c>
      <c r="D1766" t="s">
        <v>180</v>
      </c>
      <c r="E1766">
        <v>716</v>
      </c>
      <c r="F1766">
        <v>627.65</v>
      </c>
    </row>
    <row r="1767" spans="1:6" x14ac:dyDescent="0.25">
      <c r="A1767" t="s">
        <v>98</v>
      </c>
      <c r="B1767" s="6">
        <v>45643</v>
      </c>
      <c r="C1767" t="s">
        <v>201</v>
      </c>
      <c r="D1767" t="s">
        <v>180</v>
      </c>
      <c r="E1767">
        <v>806</v>
      </c>
      <c r="F1767">
        <v>627.21029999999996</v>
      </c>
    </row>
    <row r="1768" spans="1:6" x14ac:dyDescent="0.25">
      <c r="A1768" t="s">
        <v>98</v>
      </c>
      <c r="B1768" s="6">
        <v>45643</v>
      </c>
      <c r="C1768" t="s">
        <v>201</v>
      </c>
      <c r="D1768" t="s">
        <v>180</v>
      </c>
      <c r="E1768">
        <v>2017</v>
      </c>
      <c r="F1768">
        <v>626.13070000000005</v>
      </c>
    </row>
    <row r="1769" spans="1:6" x14ac:dyDescent="0.25">
      <c r="A1769" t="s">
        <v>98</v>
      </c>
      <c r="B1769" s="6">
        <v>45643</v>
      </c>
      <c r="C1769" t="s">
        <v>201</v>
      </c>
      <c r="D1769" t="s">
        <v>180</v>
      </c>
      <c r="E1769">
        <v>3366</v>
      </c>
      <c r="F1769">
        <v>624.9606</v>
      </c>
    </row>
    <row r="1770" spans="1:6" x14ac:dyDescent="0.25">
      <c r="A1770" t="s">
        <v>98</v>
      </c>
      <c r="B1770" s="6">
        <v>45643</v>
      </c>
      <c r="C1770" t="s">
        <v>201</v>
      </c>
      <c r="D1770" t="s">
        <v>180</v>
      </c>
      <c r="E1770">
        <v>4651</v>
      </c>
      <c r="F1770">
        <v>624.03219999999999</v>
      </c>
    </row>
    <row r="1771" spans="1:6" x14ac:dyDescent="0.25">
      <c r="A1771" t="s">
        <v>98</v>
      </c>
      <c r="B1771" s="6">
        <v>45643</v>
      </c>
      <c r="C1771" t="s">
        <v>201</v>
      </c>
      <c r="D1771" t="s">
        <v>180</v>
      </c>
      <c r="E1771">
        <v>5940</v>
      </c>
      <c r="F1771">
        <v>623.05849999999998</v>
      </c>
    </row>
    <row r="1772" spans="1:6" x14ac:dyDescent="0.25">
      <c r="A1772" t="s">
        <v>98</v>
      </c>
      <c r="B1772" s="6">
        <v>45643</v>
      </c>
      <c r="C1772" t="s">
        <v>201</v>
      </c>
      <c r="D1772" t="s">
        <v>180</v>
      </c>
      <c r="E1772">
        <v>9830</v>
      </c>
      <c r="F1772">
        <v>621.97879999999998</v>
      </c>
    </row>
    <row r="1773" spans="1:6" x14ac:dyDescent="0.25">
      <c r="A1773" t="s">
        <v>98</v>
      </c>
      <c r="B1773" s="6">
        <v>45643</v>
      </c>
      <c r="C1773" t="s">
        <v>201</v>
      </c>
      <c r="D1773" t="s">
        <v>180</v>
      </c>
      <c r="E1773">
        <v>12767</v>
      </c>
      <c r="F1773">
        <v>620.75580000000002</v>
      </c>
    </row>
    <row r="1774" spans="1:6" x14ac:dyDescent="0.25">
      <c r="A1774" t="s">
        <v>98</v>
      </c>
      <c r="B1774" s="6">
        <v>45643</v>
      </c>
      <c r="C1774" t="s">
        <v>201</v>
      </c>
      <c r="D1774" t="s">
        <v>180</v>
      </c>
      <c r="E1774">
        <v>14751</v>
      </c>
      <c r="F1774">
        <v>619.84640000000002</v>
      </c>
    </row>
    <row r="1775" spans="1:6" x14ac:dyDescent="0.25">
      <c r="A1775" t="s">
        <v>98</v>
      </c>
      <c r="B1775" s="6">
        <v>45643</v>
      </c>
      <c r="C1775" t="s">
        <v>201</v>
      </c>
      <c r="D1775" t="s">
        <v>180</v>
      </c>
      <c r="E1775">
        <v>19661</v>
      </c>
      <c r="F1775">
        <v>618.64070000000004</v>
      </c>
    </row>
    <row r="1776" spans="1:6" x14ac:dyDescent="0.25">
      <c r="A1776" t="s">
        <v>98</v>
      </c>
      <c r="B1776" s="6">
        <v>45643</v>
      </c>
      <c r="C1776" t="s">
        <v>201</v>
      </c>
      <c r="D1776" t="s">
        <v>180</v>
      </c>
      <c r="E1776">
        <v>21878</v>
      </c>
      <c r="F1776">
        <v>617.68679999999995</v>
      </c>
    </row>
    <row r="1777" spans="1:6" x14ac:dyDescent="0.25">
      <c r="A1777" t="s">
        <v>98</v>
      </c>
      <c r="B1777" s="6">
        <v>45643</v>
      </c>
      <c r="C1777" t="s">
        <v>201</v>
      </c>
      <c r="D1777" t="s">
        <v>10</v>
      </c>
      <c r="E1777">
        <v>22946</v>
      </c>
      <c r="F1777">
        <v>0</v>
      </c>
    </row>
    <row r="1778" spans="1:6" x14ac:dyDescent="0.25">
      <c r="A1778" t="s">
        <v>98</v>
      </c>
      <c r="B1778" s="6">
        <v>45642</v>
      </c>
      <c r="C1778" t="s">
        <v>201</v>
      </c>
      <c r="D1778" t="s">
        <v>10</v>
      </c>
      <c r="E1778">
        <v>193812339</v>
      </c>
      <c r="F1778">
        <v>0</v>
      </c>
    </row>
    <row r="1779" spans="1:6" x14ac:dyDescent="0.25">
      <c r="A1779" t="s">
        <v>98</v>
      </c>
      <c r="B1779" s="6">
        <v>45642</v>
      </c>
      <c r="C1779" t="s">
        <v>201</v>
      </c>
      <c r="D1779" t="s">
        <v>180</v>
      </c>
      <c r="E1779">
        <v>529254</v>
      </c>
      <c r="F1779">
        <v>630.41110000000003</v>
      </c>
    </row>
    <row r="1780" spans="1:6" x14ac:dyDescent="0.25">
      <c r="A1780" t="s">
        <v>98</v>
      </c>
      <c r="B1780" s="6">
        <v>45642</v>
      </c>
      <c r="C1780" t="s">
        <v>201</v>
      </c>
      <c r="D1780" t="s">
        <v>180</v>
      </c>
      <c r="E1780">
        <v>529541</v>
      </c>
      <c r="F1780">
        <v>629.69889999999998</v>
      </c>
    </row>
    <row r="1781" spans="1:6" x14ac:dyDescent="0.25">
      <c r="A1781" t="s">
        <v>98</v>
      </c>
      <c r="B1781" s="6">
        <v>45642</v>
      </c>
      <c r="C1781" t="s">
        <v>201</v>
      </c>
      <c r="D1781" t="s">
        <v>180</v>
      </c>
      <c r="E1781">
        <v>530479</v>
      </c>
      <c r="F1781">
        <v>628.56979999999999</v>
      </c>
    </row>
    <row r="1782" spans="1:6" x14ac:dyDescent="0.25">
      <c r="A1782" t="s">
        <v>98</v>
      </c>
      <c r="B1782" s="6">
        <v>45642</v>
      </c>
      <c r="C1782" t="s">
        <v>201</v>
      </c>
      <c r="D1782" t="s">
        <v>180</v>
      </c>
      <c r="E1782">
        <v>532081</v>
      </c>
      <c r="F1782">
        <v>627.63220000000001</v>
      </c>
    </row>
    <row r="1783" spans="1:6" x14ac:dyDescent="0.25">
      <c r="A1783" t="s">
        <v>98</v>
      </c>
      <c r="B1783" s="6">
        <v>45642</v>
      </c>
      <c r="C1783" t="s">
        <v>201</v>
      </c>
      <c r="D1783" t="s">
        <v>180</v>
      </c>
      <c r="E1783">
        <v>533195</v>
      </c>
      <c r="F1783">
        <v>626.47929999999997</v>
      </c>
    </row>
    <row r="1784" spans="1:6" x14ac:dyDescent="0.25">
      <c r="A1784" t="s">
        <v>98</v>
      </c>
      <c r="B1784" s="6">
        <v>45642</v>
      </c>
      <c r="C1784" t="s">
        <v>201</v>
      </c>
      <c r="D1784" t="s">
        <v>180</v>
      </c>
      <c r="E1784">
        <v>534392</v>
      </c>
      <c r="F1784">
        <v>624.86019999999996</v>
      </c>
    </row>
    <row r="1785" spans="1:6" x14ac:dyDescent="0.25">
      <c r="A1785" t="s">
        <v>98</v>
      </c>
      <c r="B1785" s="6">
        <v>45642</v>
      </c>
      <c r="C1785" t="s">
        <v>201</v>
      </c>
      <c r="D1785" t="s">
        <v>180</v>
      </c>
      <c r="E1785">
        <v>535014</v>
      </c>
      <c r="F1785">
        <v>623.87670000000003</v>
      </c>
    </row>
    <row r="1786" spans="1:6" x14ac:dyDescent="0.25">
      <c r="A1786" t="s">
        <v>98</v>
      </c>
      <c r="B1786" s="6">
        <v>45642</v>
      </c>
      <c r="C1786" t="s">
        <v>201</v>
      </c>
      <c r="D1786" t="s">
        <v>180</v>
      </c>
      <c r="E1786">
        <v>536714</v>
      </c>
      <c r="F1786">
        <v>622.91150000000005</v>
      </c>
    </row>
    <row r="1787" spans="1:6" x14ac:dyDescent="0.25">
      <c r="A1787" t="s">
        <v>98</v>
      </c>
      <c r="B1787" s="6">
        <v>45642</v>
      </c>
      <c r="C1787" t="s">
        <v>201</v>
      </c>
      <c r="D1787" t="s">
        <v>180</v>
      </c>
      <c r="E1787">
        <v>538768</v>
      </c>
      <c r="F1787">
        <v>621.96759999999995</v>
      </c>
    </row>
    <row r="1788" spans="1:6" x14ac:dyDescent="0.25">
      <c r="A1788" t="s">
        <v>98</v>
      </c>
      <c r="B1788" s="6">
        <v>45642</v>
      </c>
      <c r="C1788" t="s">
        <v>201</v>
      </c>
      <c r="D1788" t="s">
        <v>180</v>
      </c>
      <c r="E1788">
        <v>540906</v>
      </c>
      <c r="F1788">
        <v>620.70180000000005</v>
      </c>
    </row>
    <row r="1789" spans="1:6" x14ac:dyDescent="0.25">
      <c r="A1789" t="s">
        <v>98</v>
      </c>
      <c r="B1789" s="6">
        <v>45642</v>
      </c>
      <c r="C1789" t="s">
        <v>201</v>
      </c>
      <c r="D1789" t="s">
        <v>180</v>
      </c>
      <c r="E1789">
        <v>542129</v>
      </c>
      <c r="F1789">
        <v>619.04</v>
      </c>
    </row>
    <row r="1790" spans="1:6" x14ac:dyDescent="0.25">
      <c r="A1790" t="s">
        <v>98</v>
      </c>
      <c r="B1790" s="6">
        <v>45642</v>
      </c>
      <c r="C1790" t="s">
        <v>201</v>
      </c>
      <c r="D1790" t="s">
        <v>180</v>
      </c>
      <c r="E1790">
        <v>0</v>
      </c>
      <c r="F1790">
        <v>630.19159999999999</v>
      </c>
    </row>
    <row r="1791" spans="1:6" x14ac:dyDescent="0.25">
      <c r="A1791" t="s">
        <v>98</v>
      </c>
      <c r="B1791" s="6">
        <v>45642</v>
      </c>
      <c r="C1791" t="s">
        <v>201</v>
      </c>
      <c r="D1791" t="s">
        <v>180</v>
      </c>
      <c r="E1791">
        <v>1257</v>
      </c>
      <c r="F1791">
        <v>629.31240000000003</v>
      </c>
    </row>
    <row r="1792" spans="1:6" x14ac:dyDescent="0.25">
      <c r="A1792" t="s">
        <v>98</v>
      </c>
      <c r="B1792" s="6">
        <v>45642</v>
      </c>
      <c r="C1792" t="s">
        <v>201</v>
      </c>
      <c r="D1792" t="s">
        <v>180</v>
      </c>
      <c r="E1792">
        <v>3077</v>
      </c>
      <c r="F1792">
        <v>628.37699999999995</v>
      </c>
    </row>
    <row r="1793" spans="1:6" x14ac:dyDescent="0.25">
      <c r="A1793" t="s">
        <v>98</v>
      </c>
      <c r="B1793" s="6">
        <v>45642</v>
      </c>
      <c r="C1793" t="s">
        <v>201</v>
      </c>
      <c r="D1793" t="s">
        <v>180</v>
      </c>
      <c r="E1793">
        <v>5210</v>
      </c>
      <c r="F1793">
        <v>627.29610000000002</v>
      </c>
    </row>
    <row r="1794" spans="1:6" x14ac:dyDescent="0.25">
      <c r="A1794" t="s">
        <v>98</v>
      </c>
      <c r="B1794" s="6">
        <v>45642</v>
      </c>
      <c r="C1794" t="s">
        <v>201</v>
      </c>
      <c r="D1794" t="s">
        <v>180</v>
      </c>
      <c r="E1794">
        <v>7433</v>
      </c>
      <c r="F1794">
        <v>626.29870000000005</v>
      </c>
    </row>
    <row r="1795" spans="1:6" x14ac:dyDescent="0.25">
      <c r="A1795" t="s">
        <v>98</v>
      </c>
      <c r="B1795" s="6">
        <v>45642</v>
      </c>
      <c r="C1795" t="s">
        <v>201</v>
      </c>
      <c r="D1795" t="s">
        <v>180</v>
      </c>
      <c r="E1795">
        <v>9124</v>
      </c>
      <c r="F1795">
        <v>625.0181</v>
      </c>
    </row>
    <row r="1796" spans="1:6" x14ac:dyDescent="0.25">
      <c r="A1796" t="s">
        <v>98</v>
      </c>
      <c r="B1796" s="6">
        <v>45642</v>
      </c>
      <c r="C1796" t="s">
        <v>201</v>
      </c>
      <c r="D1796" t="s">
        <v>180</v>
      </c>
      <c r="E1796">
        <v>9853</v>
      </c>
      <c r="F1796">
        <v>624.08870000000002</v>
      </c>
    </row>
    <row r="1797" spans="1:6" x14ac:dyDescent="0.25">
      <c r="A1797" t="s">
        <v>98</v>
      </c>
      <c r="B1797" s="6">
        <v>45642</v>
      </c>
      <c r="C1797" t="s">
        <v>201</v>
      </c>
      <c r="D1797" t="s">
        <v>180</v>
      </c>
      <c r="E1797">
        <v>12462</v>
      </c>
      <c r="F1797">
        <v>623.07740000000001</v>
      </c>
    </row>
    <row r="1798" spans="1:6" x14ac:dyDescent="0.25">
      <c r="A1798" t="s">
        <v>98</v>
      </c>
      <c r="B1798" s="6">
        <v>45642</v>
      </c>
      <c r="C1798" t="s">
        <v>201</v>
      </c>
      <c r="D1798" t="s">
        <v>180</v>
      </c>
      <c r="E1798">
        <v>16402</v>
      </c>
      <c r="F1798">
        <v>622.11749999999995</v>
      </c>
    </row>
    <row r="1799" spans="1:6" x14ac:dyDescent="0.25">
      <c r="A1799" t="s">
        <v>98</v>
      </c>
      <c r="B1799" s="6">
        <v>45642</v>
      </c>
      <c r="C1799" t="s">
        <v>201</v>
      </c>
      <c r="D1799" t="s">
        <v>180</v>
      </c>
      <c r="E1799">
        <v>20559</v>
      </c>
      <c r="F1799">
        <v>621.09760000000006</v>
      </c>
    </row>
    <row r="1800" spans="1:6" x14ac:dyDescent="0.25">
      <c r="A1800" t="s">
        <v>98</v>
      </c>
      <c r="B1800" s="6">
        <v>45642</v>
      </c>
      <c r="C1800" t="s">
        <v>201</v>
      </c>
      <c r="D1800" t="s">
        <v>180</v>
      </c>
      <c r="E1800">
        <v>21825</v>
      </c>
      <c r="F1800">
        <v>620.24829999999997</v>
      </c>
    </row>
    <row r="1801" spans="1:6" x14ac:dyDescent="0.25">
      <c r="A1801" t="s">
        <v>98</v>
      </c>
      <c r="B1801" s="6">
        <v>45642</v>
      </c>
      <c r="C1801" t="s">
        <v>201</v>
      </c>
      <c r="D1801" t="s">
        <v>10</v>
      </c>
      <c r="E1801">
        <v>22946</v>
      </c>
      <c r="F1801">
        <v>0</v>
      </c>
    </row>
    <row r="1802" spans="1:6" x14ac:dyDescent="0.25">
      <c r="A1802" t="s">
        <v>98</v>
      </c>
      <c r="B1802" s="6">
        <v>45642</v>
      </c>
      <c r="C1802" t="s">
        <v>196</v>
      </c>
      <c r="D1802" t="s">
        <v>180</v>
      </c>
      <c r="E1802">
        <v>18340</v>
      </c>
      <c r="F1802">
        <v>629.55999999999995</v>
      </c>
    </row>
    <row r="1803" spans="1:6" x14ac:dyDescent="0.25">
      <c r="A1803" t="s">
        <v>98</v>
      </c>
      <c r="B1803" s="6">
        <v>45639</v>
      </c>
      <c r="C1803" t="s">
        <v>201</v>
      </c>
      <c r="D1803" t="s">
        <v>10</v>
      </c>
      <c r="E1803">
        <v>193835285</v>
      </c>
      <c r="F1803">
        <v>0</v>
      </c>
    </row>
    <row r="1804" spans="1:6" x14ac:dyDescent="0.25">
      <c r="A1804" t="s">
        <v>98</v>
      </c>
      <c r="B1804" s="6">
        <v>45639</v>
      </c>
      <c r="C1804" t="s">
        <v>201</v>
      </c>
      <c r="D1804" t="s">
        <v>180</v>
      </c>
      <c r="E1804">
        <v>542229</v>
      </c>
      <c r="F1804">
        <v>629.8329</v>
      </c>
    </row>
    <row r="1805" spans="1:6" x14ac:dyDescent="0.25">
      <c r="A1805" t="s">
        <v>98</v>
      </c>
      <c r="B1805" s="6">
        <v>45639</v>
      </c>
      <c r="C1805" t="s">
        <v>201</v>
      </c>
      <c r="D1805" t="s">
        <v>180</v>
      </c>
      <c r="E1805">
        <v>543109</v>
      </c>
      <c r="F1805">
        <v>628.79660000000001</v>
      </c>
    </row>
    <row r="1806" spans="1:6" x14ac:dyDescent="0.25">
      <c r="A1806" t="s">
        <v>98</v>
      </c>
      <c r="B1806" s="6">
        <v>45639</v>
      </c>
      <c r="C1806" t="s">
        <v>201</v>
      </c>
      <c r="D1806" t="s">
        <v>180</v>
      </c>
      <c r="E1806">
        <v>544203</v>
      </c>
      <c r="F1806">
        <v>627.6173</v>
      </c>
    </row>
    <row r="1807" spans="1:6" x14ac:dyDescent="0.25">
      <c r="A1807" t="s">
        <v>98</v>
      </c>
      <c r="B1807" s="6">
        <v>45639</v>
      </c>
      <c r="C1807" t="s">
        <v>201</v>
      </c>
      <c r="D1807" t="s">
        <v>180</v>
      </c>
      <c r="E1807">
        <v>544972</v>
      </c>
      <c r="F1807">
        <v>626.64580000000001</v>
      </c>
    </row>
    <row r="1808" spans="1:6" x14ac:dyDescent="0.25">
      <c r="A1808" t="s">
        <v>98</v>
      </c>
      <c r="B1808" s="6">
        <v>45639</v>
      </c>
      <c r="C1808" t="s">
        <v>201</v>
      </c>
      <c r="D1808" t="s">
        <v>180</v>
      </c>
      <c r="E1808">
        <v>545756</v>
      </c>
      <c r="F1808">
        <v>625.47400000000005</v>
      </c>
    </row>
    <row r="1809" spans="1:6" x14ac:dyDescent="0.25">
      <c r="A1809" t="s">
        <v>98</v>
      </c>
      <c r="B1809" s="6">
        <v>45639</v>
      </c>
      <c r="C1809" t="s">
        <v>201</v>
      </c>
      <c r="D1809" t="s">
        <v>180</v>
      </c>
      <c r="E1809">
        <v>546256</v>
      </c>
      <c r="F1809">
        <v>624.56619999999998</v>
      </c>
    </row>
    <row r="1810" spans="1:6" x14ac:dyDescent="0.25">
      <c r="A1810" t="s">
        <v>98</v>
      </c>
      <c r="B1810" s="6">
        <v>45639</v>
      </c>
      <c r="C1810" t="s">
        <v>201</v>
      </c>
      <c r="D1810" t="s">
        <v>180</v>
      </c>
      <c r="E1810">
        <v>546548</v>
      </c>
      <c r="F1810">
        <v>623.07249999999999</v>
      </c>
    </row>
    <row r="1811" spans="1:6" x14ac:dyDescent="0.25">
      <c r="A1811" t="s">
        <v>98</v>
      </c>
      <c r="B1811" s="6">
        <v>45639</v>
      </c>
      <c r="C1811" t="s">
        <v>201</v>
      </c>
      <c r="D1811" t="s">
        <v>180</v>
      </c>
      <c r="E1811">
        <v>546853</v>
      </c>
      <c r="F1811">
        <v>622.0104</v>
      </c>
    </row>
    <row r="1812" spans="1:6" x14ac:dyDescent="0.25">
      <c r="A1812" t="s">
        <v>98</v>
      </c>
      <c r="B1812" s="6">
        <v>45639</v>
      </c>
      <c r="C1812" t="s">
        <v>201</v>
      </c>
      <c r="D1812" t="s">
        <v>180</v>
      </c>
      <c r="E1812">
        <v>547245</v>
      </c>
      <c r="F1812">
        <v>620.84870000000001</v>
      </c>
    </row>
    <row r="1813" spans="1:6" x14ac:dyDescent="0.25">
      <c r="A1813" t="s">
        <v>98</v>
      </c>
      <c r="B1813" s="6">
        <v>45639</v>
      </c>
      <c r="C1813" t="s">
        <v>201</v>
      </c>
      <c r="D1813" t="s">
        <v>180</v>
      </c>
      <c r="E1813">
        <v>547771</v>
      </c>
      <c r="F1813">
        <v>620.06579999999997</v>
      </c>
    </row>
    <row r="1814" spans="1:6" x14ac:dyDescent="0.25">
      <c r="A1814" t="s">
        <v>98</v>
      </c>
      <c r="B1814" s="6">
        <v>45639</v>
      </c>
      <c r="C1814" t="s">
        <v>201</v>
      </c>
      <c r="D1814" t="s">
        <v>180</v>
      </c>
      <c r="E1814">
        <v>550786</v>
      </c>
      <c r="F1814">
        <v>619.02120000000002</v>
      </c>
    </row>
    <row r="1815" spans="1:6" x14ac:dyDescent="0.25">
      <c r="A1815" t="s">
        <v>98</v>
      </c>
      <c r="B1815" s="6">
        <v>45639</v>
      </c>
      <c r="C1815" t="s">
        <v>201</v>
      </c>
      <c r="D1815" t="s">
        <v>180</v>
      </c>
      <c r="E1815">
        <v>553233</v>
      </c>
      <c r="F1815">
        <v>617.87149999999997</v>
      </c>
    </row>
    <row r="1816" spans="1:6" x14ac:dyDescent="0.25">
      <c r="A1816" t="s">
        <v>98</v>
      </c>
      <c r="B1816" s="6">
        <v>45639</v>
      </c>
      <c r="C1816" t="s">
        <v>201</v>
      </c>
      <c r="D1816" t="s">
        <v>180</v>
      </c>
      <c r="E1816">
        <v>0</v>
      </c>
      <c r="F1816">
        <v>630.23170000000005</v>
      </c>
    </row>
    <row r="1817" spans="1:6" x14ac:dyDescent="0.25">
      <c r="A1817" t="s">
        <v>98</v>
      </c>
      <c r="B1817" s="6">
        <v>45639</v>
      </c>
      <c r="C1817" t="s">
        <v>201</v>
      </c>
      <c r="D1817" t="s">
        <v>180</v>
      </c>
      <c r="E1817">
        <v>680</v>
      </c>
      <c r="F1817">
        <v>629.36829999999998</v>
      </c>
    </row>
    <row r="1818" spans="1:6" x14ac:dyDescent="0.25">
      <c r="A1818" t="s">
        <v>98</v>
      </c>
      <c r="B1818" s="6">
        <v>45639</v>
      </c>
      <c r="C1818" t="s">
        <v>201</v>
      </c>
      <c r="D1818" t="s">
        <v>180</v>
      </c>
      <c r="E1818">
        <v>2527</v>
      </c>
      <c r="F1818">
        <v>628.29</v>
      </c>
    </row>
    <row r="1819" spans="1:6" x14ac:dyDescent="0.25">
      <c r="A1819" t="s">
        <v>98</v>
      </c>
      <c r="B1819" s="6">
        <v>45639</v>
      </c>
      <c r="C1819" t="s">
        <v>201</v>
      </c>
      <c r="D1819" t="s">
        <v>180</v>
      </c>
      <c r="E1819">
        <v>4012</v>
      </c>
      <c r="F1819">
        <v>627.25409999999999</v>
      </c>
    </row>
    <row r="1820" spans="1:6" x14ac:dyDescent="0.25">
      <c r="A1820" t="s">
        <v>98</v>
      </c>
      <c r="B1820" s="6">
        <v>45639</v>
      </c>
      <c r="C1820" t="s">
        <v>201</v>
      </c>
      <c r="D1820" t="s">
        <v>180</v>
      </c>
      <c r="E1820">
        <v>5647</v>
      </c>
      <c r="F1820">
        <v>626.11800000000005</v>
      </c>
    </row>
    <row r="1821" spans="1:6" x14ac:dyDescent="0.25">
      <c r="A1821" t="s">
        <v>98</v>
      </c>
      <c r="B1821" s="6">
        <v>45639</v>
      </c>
      <c r="C1821" t="s">
        <v>201</v>
      </c>
      <c r="D1821" t="s">
        <v>180</v>
      </c>
      <c r="E1821">
        <v>6343</v>
      </c>
      <c r="F1821">
        <v>625.04859999999996</v>
      </c>
    </row>
    <row r="1822" spans="1:6" x14ac:dyDescent="0.25">
      <c r="A1822" t="s">
        <v>98</v>
      </c>
      <c r="B1822" s="6">
        <v>45639</v>
      </c>
      <c r="C1822" t="s">
        <v>201</v>
      </c>
      <c r="D1822" t="s">
        <v>180</v>
      </c>
      <c r="E1822">
        <v>7528</v>
      </c>
      <c r="F1822">
        <v>623.53</v>
      </c>
    </row>
    <row r="1823" spans="1:6" x14ac:dyDescent="0.25">
      <c r="A1823" t="s">
        <v>98</v>
      </c>
      <c r="B1823" s="6">
        <v>45639</v>
      </c>
      <c r="C1823" t="s">
        <v>201</v>
      </c>
      <c r="D1823" t="s">
        <v>180</v>
      </c>
      <c r="E1823">
        <v>7718</v>
      </c>
      <c r="F1823">
        <v>622.8451</v>
      </c>
    </row>
    <row r="1824" spans="1:6" x14ac:dyDescent="0.25">
      <c r="A1824" t="s">
        <v>98</v>
      </c>
      <c r="B1824" s="6">
        <v>45639</v>
      </c>
      <c r="C1824" t="s">
        <v>201</v>
      </c>
      <c r="D1824" t="s">
        <v>180</v>
      </c>
      <c r="E1824">
        <v>8314</v>
      </c>
      <c r="F1824">
        <v>621.83010000000002</v>
      </c>
    </row>
    <row r="1825" spans="1:6" x14ac:dyDescent="0.25">
      <c r="A1825" t="s">
        <v>98</v>
      </c>
      <c r="B1825" s="6">
        <v>45639</v>
      </c>
      <c r="C1825" t="s">
        <v>201</v>
      </c>
      <c r="D1825" t="s">
        <v>180</v>
      </c>
      <c r="E1825">
        <v>8847</v>
      </c>
      <c r="F1825">
        <v>620.64760000000001</v>
      </c>
    </row>
    <row r="1826" spans="1:6" x14ac:dyDescent="0.25">
      <c r="A1826" t="s">
        <v>98</v>
      </c>
      <c r="B1826" s="6">
        <v>45639</v>
      </c>
      <c r="C1826" t="s">
        <v>201</v>
      </c>
      <c r="D1826" t="s">
        <v>180</v>
      </c>
      <c r="E1826">
        <v>11188</v>
      </c>
      <c r="F1826">
        <v>619.85130000000004</v>
      </c>
    </row>
    <row r="1827" spans="1:6" x14ac:dyDescent="0.25">
      <c r="A1827" t="s">
        <v>98</v>
      </c>
      <c r="B1827" s="6">
        <v>45639</v>
      </c>
      <c r="C1827" t="s">
        <v>201</v>
      </c>
      <c r="D1827" t="s">
        <v>180</v>
      </c>
      <c r="E1827">
        <v>15865</v>
      </c>
      <c r="F1827">
        <v>618.77440000000001</v>
      </c>
    </row>
    <row r="1828" spans="1:6" x14ac:dyDescent="0.25">
      <c r="A1828" t="s">
        <v>98</v>
      </c>
      <c r="B1828" s="6">
        <v>45639</v>
      </c>
      <c r="C1828" t="s">
        <v>201</v>
      </c>
      <c r="D1828" t="s">
        <v>180</v>
      </c>
      <c r="E1828">
        <v>19947</v>
      </c>
      <c r="F1828">
        <v>617.80319999999995</v>
      </c>
    </row>
    <row r="1829" spans="1:6" x14ac:dyDescent="0.25">
      <c r="A1829" t="s">
        <v>98</v>
      </c>
      <c r="B1829" s="6">
        <v>45639</v>
      </c>
      <c r="C1829" t="s">
        <v>201</v>
      </c>
      <c r="D1829" t="s">
        <v>10</v>
      </c>
      <c r="E1829">
        <v>22946</v>
      </c>
      <c r="F1829">
        <v>0</v>
      </c>
    </row>
    <row r="1830" spans="1:6" x14ac:dyDescent="0.25">
      <c r="A1830" t="s">
        <v>98</v>
      </c>
      <c r="B1830" s="6">
        <v>45638</v>
      </c>
      <c r="C1830" t="s">
        <v>201</v>
      </c>
      <c r="D1830" t="s">
        <v>10</v>
      </c>
      <c r="E1830">
        <v>193858231</v>
      </c>
      <c r="F1830">
        <v>0</v>
      </c>
    </row>
    <row r="1831" spans="1:6" x14ac:dyDescent="0.25">
      <c r="A1831" t="s">
        <v>98</v>
      </c>
      <c r="B1831" s="6">
        <v>45638</v>
      </c>
      <c r="C1831" t="s">
        <v>201</v>
      </c>
      <c r="D1831" t="s">
        <v>180</v>
      </c>
      <c r="E1831">
        <v>555204</v>
      </c>
      <c r="F1831">
        <v>636.12080000000003</v>
      </c>
    </row>
    <row r="1832" spans="1:6" x14ac:dyDescent="0.25">
      <c r="A1832" t="s">
        <v>98</v>
      </c>
      <c r="B1832" s="6">
        <v>45638</v>
      </c>
      <c r="C1832" t="s">
        <v>201</v>
      </c>
      <c r="D1832" t="s">
        <v>180</v>
      </c>
      <c r="E1832">
        <v>555400</v>
      </c>
      <c r="F1832">
        <v>635.29780000000005</v>
      </c>
    </row>
    <row r="1833" spans="1:6" x14ac:dyDescent="0.25">
      <c r="A1833" t="s">
        <v>98</v>
      </c>
      <c r="B1833" s="6">
        <v>45638</v>
      </c>
      <c r="C1833" t="s">
        <v>201</v>
      </c>
      <c r="D1833" t="s">
        <v>180</v>
      </c>
      <c r="E1833">
        <v>556417</v>
      </c>
      <c r="F1833">
        <v>634.35299999999995</v>
      </c>
    </row>
    <row r="1834" spans="1:6" x14ac:dyDescent="0.25">
      <c r="A1834" t="s">
        <v>98</v>
      </c>
      <c r="B1834" s="6">
        <v>45638</v>
      </c>
      <c r="C1834" t="s">
        <v>201</v>
      </c>
      <c r="D1834" t="s">
        <v>180</v>
      </c>
      <c r="E1834">
        <v>558232</v>
      </c>
      <c r="F1834">
        <v>633.08540000000005</v>
      </c>
    </row>
    <row r="1835" spans="1:6" x14ac:dyDescent="0.25">
      <c r="A1835" t="s">
        <v>98</v>
      </c>
      <c r="B1835" s="6">
        <v>45638</v>
      </c>
      <c r="C1835" t="s">
        <v>201</v>
      </c>
      <c r="D1835" t="s">
        <v>180</v>
      </c>
      <c r="E1835">
        <v>560566</v>
      </c>
      <c r="F1835">
        <v>632.15120000000002</v>
      </c>
    </row>
    <row r="1836" spans="1:6" x14ac:dyDescent="0.25">
      <c r="A1836" t="s">
        <v>98</v>
      </c>
      <c r="B1836" s="6">
        <v>45638</v>
      </c>
      <c r="C1836" t="s">
        <v>201</v>
      </c>
      <c r="D1836" t="s">
        <v>180</v>
      </c>
      <c r="E1836">
        <v>562184</v>
      </c>
      <c r="F1836">
        <v>631.08879999999999</v>
      </c>
    </row>
    <row r="1837" spans="1:6" x14ac:dyDescent="0.25">
      <c r="A1837" t="s">
        <v>98</v>
      </c>
      <c r="B1837" s="6">
        <v>45638</v>
      </c>
      <c r="C1837" t="s">
        <v>201</v>
      </c>
      <c r="D1837" t="s">
        <v>180</v>
      </c>
      <c r="E1837">
        <v>564750</v>
      </c>
      <c r="F1837">
        <v>630.08000000000004</v>
      </c>
    </row>
    <row r="1838" spans="1:6" x14ac:dyDescent="0.25">
      <c r="A1838" t="s">
        <v>98</v>
      </c>
      <c r="B1838" s="6">
        <v>45638</v>
      </c>
      <c r="C1838" t="s">
        <v>201</v>
      </c>
      <c r="D1838" t="s">
        <v>180</v>
      </c>
      <c r="E1838">
        <v>566912</v>
      </c>
      <c r="F1838">
        <v>628.94150000000002</v>
      </c>
    </row>
    <row r="1839" spans="1:6" x14ac:dyDescent="0.25">
      <c r="A1839" t="s">
        <v>98</v>
      </c>
      <c r="B1839" s="6">
        <v>45638</v>
      </c>
      <c r="C1839" t="s">
        <v>201</v>
      </c>
      <c r="D1839" t="s">
        <v>180</v>
      </c>
      <c r="E1839">
        <v>0</v>
      </c>
      <c r="F1839">
        <v>636.09569999999997</v>
      </c>
    </row>
    <row r="1840" spans="1:6" x14ac:dyDescent="0.25">
      <c r="A1840" t="s">
        <v>98</v>
      </c>
      <c r="B1840" s="6">
        <v>45638</v>
      </c>
      <c r="C1840" t="s">
        <v>201</v>
      </c>
      <c r="D1840" t="s">
        <v>180</v>
      </c>
      <c r="E1840">
        <v>301</v>
      </c>
      <c r="F1840">
        <v>635.24080000000004</v>
      </c>
    </row>
    <row r="1841" spans="1:6" x14ac:dyDescent="0.25">
      <c r="A1841" t="s">
        <v>98</v>
      </c>
      <c r="B1841" s="6">
        <v>45638</v>
      </c>
      <c r="C1841" t="s">
        <v>201</v>
      </c>
      <c r="D1841" t="s">
        <v>180</v>
      </c>
      <c r="E1841">
        <v>2491</v>
      </c>
      <c r="F1841">
        <v>634.35170000000005</v>
      </c>
    </row>
    <row r="1842" spans="1:6" x14ac:dyDescent="0.25">
      <c r="A1842" t="s">
        <v>98</v>
      </c>
      <c r="B1842" s="6">
        <v>45638</v>
      </c>
      <c r="C1842" t="s">
        <v>201</v>
      </c>
      <c r="D1842" t="s">
        <v>180</v>
      </c>
      <c r="E1842">
        <v>5460</v>
      </c>
      <c r="F1842">
        <v>633.17909999999995</v>
      </c>
    </row>
    <row r="1843" spans="1:6" x14ac:dyDescent="0.25">
      <c r="A1843" t="s">
        <v>98</v>
      </c>
      <c r="B1843" s="6">
        <v>45638</v>
      </c>
      <c r="C1843" t="s">
        <v>201</v>
      </c>
      <c r="D1843" t="s">
        <v>180</v>
      </c>
      <c r="E1843">
        <v>8800</v>
      </c>
      <c r="F1843">
        <v>632.25959999999998</v>
      </c>
    </row>
    <row r="1844" spans="1:6" x14ac:dyDescent="0.25">
      <c r="A1844" t="s">
        <v>98</v>
      </c>
      <c r="B1844" s="6">
        <v>45638</v>
      </c>
      <c r="C1844" t="s">
        <v>201</v>
      </c>
      <c r="D1844" t="s">
        <v>180</v>
      </c>
      <c r="E1844">
        <v>12410</v>
      </c>
      <c r="F1844">
        <v>631.19110000000001</v>
      </c>
    </row>
    <row r="1845" spans="1:6" x14ac:dyDescent="0.25">
      <c r="A1845" t="s">
        <v>98</v>
      </c>
      <c r="B1845" s="6">
        <v>45638</v>
      </c>
      <c r="C1845" t="s">
        <v>201</v>
      </c>
      <c r="D1845" t="s">
        <v>180</v>
      </c>
      <c r="E1845">
        <v>15973</v>
      </c>
      <c r="F1845">
        <v>630.3261</v>
      </c>
    </row>
    <row r="1846" spans="1:6" x14ac:dyDescent="0.25">
      <c r="A1846" t="s">
        <v>98</v>
      </c>
      <c r="B1846" s="6">
        <v>45638</v>
      </c>
      <c r="C1846" t="s">
        <v>201</v>
      </c>
      <c r="D1846" t="s">
        <v>180</v>
      </c>
      <c r="E1846">
        <v>20123</v>
      </c>
      <c r="F1846">
        <v>629.20950000000005</v>
      </c>
    </row>
    <row r="1847" spans="1:6" x14ac:dyDescent="0.25">
      <c r="A1847" t="s">
        <v>98</v>
      </c>
      <c r="B1847" s="6">
        <v>45638</v>
      </c>
      <c r="C1847" t="s">
        <v>201</v>
      </c>
      <c r="D1847" t="s">
        <v>180</v>
      </c>
      <c r="E1847">
        <v>22746</v>
      </c>
      <c r="F1847">
        <v>627.5</v>
      </c>
    </row>
    <row r="1848" spans="1:6" x14ac:dyDescent="0.25">
      <c r="A1848" t="s">
        <v>98</v>
      </c>
      <c r="B1848" s="6">
        <v>45638</v>
      </c>
      <c r="C1848" t="s">
        <v>201</v>
      </c>
      <c r="D1848" t="s">
        <v>10</v>
      </c>
      <c r="E1848">
        <v>22946</v>
      </c>
      <c r="F1848">
        <v>0</v>
      </c>
    </row>
    <row r="1849" spans="1:6" x14ac:dyDescent="0.25">
      <c r="A1849" t="s">
        <v>98</v>
      </c>
      <c r="B1849" s="6">
        <v>45637</v>
      </c>
      <c r="C1849" t="s">
        <v>201</v>
      </c>
      <c r="D1849" t="s">
        <v>10</v>
      </c>
      <c r="E1849">
        <v>193881177</v>
      </c>
      <c r="F1849">
        <v>0</v>
      </c>
    </row>
    <row r="1850" spans="1:6" x14ac:dyDescent="0.25">
      <c r="A1850" t="s">
        <v>98</v>
      </c>
      <c r="B1850" s="6">
        <v>45637</v>
      </c>
      <c r="C1850" t="s">
        <v>201</v>
      </c>
      <c r="D1850" t="s">
        <v>180</v>
      </c>
      <c r="E1850">
        <v>568179</v>
      </c>
      <c r="F1850">
        <v>638.37</v>
      </c>
    </row>
    <row r="1851" spans="1:6" x14ac:dyDescent="0.25">
      <c r="A1851" t="s">
        <v>98</v>
      </c>
      <c r="B1851" s="6">
        <v>45637</v>
      </c>
      <c r="C1851" t="s">
        <v>201</v>
      </c>
      <c r="D1851" t="s">
        <v>180</v>
      </c>
      <c r="E1851">
        <v>568279</v>
      </c>
      <c r="F1851">
        <v>637.13</v>
      </c>
    </row>
    <row r="1852" spans="1:6" x14ac:dyDescent="0.25">
      <c r="A1852" t="s">
        <v>98</v>
      </c>
      <c r="B1852" s="6">
        <v>45637</v>
      </c>
      <c r="C1852" t="s">
        <v>201</v>
      </c>
      <c r="D1852" t="s">
        <v>180</v>
      </c>
      <c r="E1852">
        <v>568379</v>
      </c>
      <c r="F1852">
        <v>636.37059999999997</v>
      </c>
    </row>
    <row r="1853" spans="1:6" x14ac:dyDescent="0.25">
      <c r="A1853" t="s">
        <v>98</v>
      </c>
      <c r="B1853" s="6">
        <v>45637</v>
      </c>
      <c r="C1853" t="s">
        <v>201</v>
      </c>
      <c r="D1853" t="s">
        <v>180</v>
      </c>
      <c r="E1853">
        <v>568799</v>
      </c>
      <c r="F1853">
        <v>635.20230000000004</v>
      </c>
    </row>
    <row r="1854" spans="1:6" x14ac:dyDescent="0.25">
      <c r="A1854" t="s">
        <v>98</v>
      </c>
      <c r="B1854" s="6">
        <v>45637</v>
      </c>
      <c r="C1854" t="s">
        <v>201</v>
      </c>
      <c r="D1854" t="s">
        <v>180</v>
      </c>
      <c r="E1854">
        <v>570079</v>
      </c>
      <c r="F1854">
        <v>634.55820000000006</v>
      </c>
    </row>
    <row r="1855" spans="1:6" x14ac:dyDescent="0.25">
      <c r="A1855" t="s">
        <v>98</v>
      </c>
      <c r="B1855" s="6">
        <v>45637</v>
      </c>
      <c r="C1855" t="s">
        <v>201</v>
      </c>
      <c r="D1855" t="s">
        <v>180</v>
      </c>
      <c r="E1855">
        <v>573408</v>
      </c>
      <c r="F1855">
        <v>633.60709999999995</v>
      </c>
    </row>
    <row r="1856" spans="1:6" x14ac:dyDescent="0.25">
      <c r="A1856" t="s">
        <v>98</v>
      </c>
      <c r="B1856" s="6">
        <v>45637</v>
      </c>
      <c r="C1856" t="s">
        <v>201</v>
      </c>
      <c r="D1856" t="s">
        <v>180</v>
      </c>
      <c r="E1856">
        <v>576466</v>
      </c>
      <c r="F1856">
        <v>632.52110000000005</v>
      </c>
    </row>
    <row r="1857" spans="1:6" x14ac:dyDescent="0.25">
      <c r="A1857" t="s">
        <v>98</v>
      </c>
      <c r="B1857" s="6">
        <v>45637</v>
      </c>
      <c r="C1857" t="s">
        <v>201</v>
      </c>
      <c r="D1857" t="s">
        <v>180</v>
      </c>
      <c r="E1857">
        <v>578518</v>
      </c>
      <c r="F1857">
        <v>631.52459999999996</v>
      </c>
    </row>
    <row r="1858" spans="1:6" x14ac:dyDescent="0.25">
      <c r="A1858" t="s">
        <v>98</v>
      </c>
      <c r="B1858" s="6">
        <v>45637</v>
      </c>
      <c r="C1858" t="s">
        <v>201</v>
      </c>
      <c r="D1858" t="s">
        <v>180</v>
      </c>
      <c r="E1858">
        <v>579598</v>
      </c>
      <c r="F1858">
        <v>630.06150000000002</v>
      </c>
    </row>
    <row r="1859" spans="1:6" x14ac:dyDescent="0.25">
      <c r="A1859" t="s">
        <v>98</v>
      </c>
      <c r="B1859" s="6">
        <v>45637</v>
      </c>
      <c r="C1859" t="s">
        <v>201</v>
      </c>
      <c r="D1859" t="s">
        <v>180</v>
      </c>
      <c r="E1859">
        <v>580478</v>
      </c>
      <c r="F1859">
        <v>628.43960000000004</v>
      </c>
    </row>
    <row r="1860" spans="1:6" x14ac:dyDescent="0.25">
      <c r="A1860" t="s">
        <v>98</v>
      </c>
      <c r="B1860" s="6">
        <v>45637</v>
      </c>
      <c r="C1860" t="s">
        <v>201</v>
      </c>
      <c r="D1860" t="s">
        <v>180</v>
      </c>
      <c r="E1860">
        <v>580874</v>
      </c>
      <c r="F1860">
        <v>627.16</v>
      </c>
    </row>
    <row r="1861" spans="1:6" x14ac:dyDescent="0.25">
      <c r="A1861" t="s">
        <v>98</v>
      </c>
      <c r="B1861" s="6">
        <v>45637</v>
      </c>
      <c r="C1861" t="s">
        <v>201</v>
      </c>
      <c r="D1861" t="s">
        <v>180</v>
      </c>
      <c r="E1861">
        <v>580974</v>
      </c>
      <c r="F1861">
        <v>625.87</v>
      </c>
    </row>
    <row r="1862" spans="1:6" x14ac:dyDescent="0.25">
      <c r="A1862" t="s">
        <v>98</v>
      </c>
      <c r="B1862" s="6">
        <v>45637</v>
      </c>
      <c r="C1862" t="s">
        <v>201</v>
      </c>
      <c r="D1862" t="s">
        <v>180</v>
      </c>
      <c r="E1862">
        <v>581070</v>
      </c>
      <c r="F1862">
        <v>622</v>
      </c>
    </row>
    <row r="1863" spans="1:6" x14ac:dyDescent="0.25">
      <c r="A1863" t="s">
        <v>98</v>
      </c>
      <c r="B1863" s="6">
        <v>45637</v>
      </c>
      <c r="C1863" t="s">
        <v>201</v>
      </c>
      <c r="D1863" t="s">
        <v>180</v>
      </c>
      <c r="E1863">
        <v>0</v>
      </c>
      <c r="F1863">
        <v>638.04999999999995</v>
      </c>
    </row>
    <row r="1864" spans="1:6" x14ac:dyDescent="0.25">
      <c r="A1864" t="s">
        <v>98</v>
      </c>
      <c r="B1864" s="6">
        <v>45637</v>
      </c>
      <c r="C1864" t="s">
        <v>201</v>
      </c>
      <c r="D1864" t="s">
        <v>180</v>
      </c>
      <c r="E1864">
        <v>90</v>
      </c>
      <c r="F1864">
        <v>637.05129999999997</v>
      </c>
    </row>
    <row r="1865" spans="1:6" x14ac:dyDescent="0.25">
      <c r="A1865" t="s">
        <v>98</v>
      </c>
      <c r="B1865" s="6">
        <v>45637</v>
      </c>
      <c r="C1865" t="s">
        <v>201</v>
      </c>
      <c r="D1865" t="s">
        <v>180</v>
      </c>
      <c r="E1865">
        <v>490</v>
      </c>
      <c r="F1865">
        <v>635.89030000000002</v>
      </c>
    </row>
    <row r="1866" spans="1:6" x14ac:dyDescent="0.25">
      <c r="A1866" t="s">
        <v>98</v>
      </c>
      <c r="B1866" s="6">
        <v>45637</v>
      </c>
      <c r="C1866" t="s">
        <v>201</v>
      </c>
      <c r="D1866" t="s">
        <v>180</v>
      </c>
      <c r="E1866">
        <v>1780</v>
      </c>
      <c r="F1866">
        <v>634.8057</v>
      </c>
    </row>
    <row r="1867" spans="1:6" x14ac:dyDescent="0.25">
      <c r="A1867" t="s">
        <v>98</v>
      </c>
      <c r="B1867" s="6">
        <v>45637</v>
      </c>
      <c r="C1867" t="s">
        <v>201</v>
      </c>
      <c r="D1867" t="s">
        <v>180</v>
      </c>
      <c r="E1867">
        <v>7121</v>
      </c>
      <c r="F1867">
        <v>633.92330000000004</v>
      </c>
    </row>
    <row r="1868" spans="1:6" x14ac:dyDescent="0.25">
      <c r="A1868" t="s">
        <v>98</v>
      </c>
      <c r="B1868" s="6">
        <v>45637</v>
      </c>
      <c r="C1868" t="s">
        <v>201</v>
      </c>
      <c r="D1868" t="s">
        <v>180</v>
      </c>
      <c r="E1868">
        <v>13595</v>
      </c>
      <c r="F1868">
        <v>632.89840000000004</v>
      </c>
    </row>
    <row r="1869" spans="1:6" x14ac:dyDescent="0.25">
      <c r="A1869" t="s">
        <v>98</v>
      </c>
      <c r="B1869" s="6">
        <v>45637</v>
      </c>
      <c r="C1869" t="s">
        <v>201</v>
      </c>
      <c r="D1869" t="s">
        <v>180</v>
      </c>
      <c r="E1869">
        <v>16932</v>
      </c>
      <c r="F1869">
        <v>632.04679999999996</v>
      </c>
    </row>
    <row r="1870" spans="1:6" x14ac:dyDescent="0.25">
      <c r="A1870" t="s">
        <v>98</v>
      </c>
      <c r="B1870" s="6">
        <v>45637</v>
      </c>
      <c r="C1870" t="s">
        <v>201</v>
      </c>
      <c r="D1870" t="s">
        <v>180</v>
      </c>
      <c r="E1870">
        <v>19340</v>
      </c>
      <c r="F1870">
        <v>630.94330000000002</v>
      </c>
    </row>
    <row r="1871" spans="1:6" x14ac:dyDescent="0.25">
      <c r="A1871" t="s">
        <v>98</v>
      </c>
      <c r="B1871" s="6">
        <v>45637</v>
      </c>
      <c r="C1871" t="s">
        <v>201</v>
      </c>
      <c r="D1871" t="s">
        <v>180</v>
      </c>
      <c r="E1871">
        <v>20432</v>
      </c>
      <c r="F1871">
        <v>629.95050000000003</v>
      </c>
    </row>
    <row r="1872" spans="1:6" x14ac:dyDescent="0.25">
      <c r="A1872" t="s">
        <v>98</v>
      </c>
      <c r="B1872" s="6">
        <v>45637</v>
      </c>
      <c r="C1872" t="s">
        <v>201</v>
      </c>
      <c r="D1872" t="s">
        <v>180</v>
      </c>
      <c r="E1872">
        <v>21877</v>
      </c>
      <c r="F1872">
        <v>628.13009999999997</v>
      </c>
    </row>
    <row r="1873" spans="1:6" x14ac:dyDescent="0.25">
      <c r="A1873" t="s">
        <v>98</v>
      </c>
      <c r="B1873" s="6">
        <v>45637</v>
      </c>
      <c r="C1873" t="s">
        <v>201</v>
      </c>
      <c r="D1873" t="s">
        <v>180</v>
      </c>
      <c r="E1873">
        <v>22480</v>
      </c>
      <c r="F1873">
        <v>627.05610000000001</v>
      </c>
    </row>
    <row r="1874" spans="1:6" x14ac:dyDescent="0.25">
      <c r="A1874" t="s">
        <v>98</v>
      </c>
      <c r="B1874" s="6">
        <v>45637</v>
      </c>
      <c r="C1874" t="s">
        <v>201</v>
      </c>
      <c r="D1874" t="s">
        <v>180</v>
      </c>
      <c r="E1874">
        <v>22646</v>
      </c>
      <c r="F1874">
        <v>625.44500000000005</v>
      </c>
    </row>
    <row r="1875" spans="1:6" x14ac:dyDescent="0.25">
      <c r="A1875" t="s">
        <v>98</v>
      </c>
      <c r="B1875" s="6">
        <v>45637</v>
      </c>
      <c r="C1875" t="s">
        <v>201</v>
      </c>
      <c r="D1875" t="s">
        <v>180</v>
      </c>
      <c r="E1875">
        <v>22846</v>
      </c>
      <c r="F1875">
        <v>623.37</v>
      </c>
    </row>
    <row r="1876" spans="1:6" x14ac:dyDescent="0.25">
      <c r="A1876" t="s">
        <v>98</v>
      </c>
      <c r="B1876" s="6">
        <v>45637</v>
      </c>
      <c r="C1876" t="s">
        <v>201</v>
      </c>
      <c r="D1876" t="s">
        <v>10</v>
      </c>
      <c r="E1876">
        <v>22946</v>
      </c>
      <c r="F1876">
        <v>0</v>
      </c>
    </row>
    <row r="1877" spans="1:6" x14ac:dyDescent="0.25">
      <c r="A1877" t="s">
        <v>98</v>
      </c>
      <c r="B1877" s="6">
        <v>45636</v>
      </c>
      <c r="C1877" t="s">
        <v>195</v>
      </c>
      <c r="D1877" t="s">
        <v>180</v>
      </c>
      <c r="E1877">
        <v>35630</v>
      </c>
      <c r="F1877">
        <v>618</v>
      </c>
    </row>
    <row r="1878" spans="1:6" x14ac:dyDescent="0.25">
      <c r="A1878" t="s">
        <v>98</v>
      </c>
      <c r="B1878" s="6">
        <v>45636</v>
      </c>
      <c r="C1878" t="s">
        <v>201</v>
      </c>
      <c r="D1878" t="s">
        <v>10</v>
      </c>
      <c r="E1878">
        <v>193904123</v>
      </c>
      <c r="F1878">
        <v>0</v>
      </c>
    </row>
    <row r="1879" spans="1:6" x14ac:dyDescent="0.25">
      <c r="A1879" t="s">
        <v>98</v>
      </c>
      <c r="B1879" s="6">
        <v>45636</v>
      </c>
      <c r="C1879" t="s">
        <v>201</v>
      </c>
      <c r="D1879" t="s">
        <v>180</v>
      </c>
      <c r="E1879">
        <v>581154</v>
      </c>
      <c r="F1879">
        <v>624.44119999999998</v>
      </c>
    </row>
    <row r="1880" spans="1:6" x14ac:dyDescent="0.25">
      <c r="A1880" t="s">
        <v>98</v>
      </c>
      <c r="B1880" s="6">
        <v>45636</v>
      </c>
      <c r="C1880" t="s">
        <v>201</v>
      </c>
      <c r="D1880" t="s">
        <v>180</v>
      </c>
      <c r="E1880">
        <v>581651</v>
      </c>
      <c r="F1880">
        <v>623.38810000000001</v>
      </c>
    </row>
    <row r="1881" spans="1:6" x14ac:dyDescent="0.25">
      <c r="A1881" t="s">
        <v>98</v>
      </c>
      <c r="B1881" s="6">
        <v>45636</v>
      </c>
      <c r="C1881" t="s">
        <v>201</v>
      </c>
      <c r="D1881" t="s">
        <v>180</v>
      </c>
      <c r="E1881">
        <v>582709</v>
      </c>
      <c r="F1881">
        <v>622.23530000000005</v>
      </c>
    </row>
    <row r="1882" spans="1:6" x14ac:dyDescent="0.25">
      <c r="A1882" t="s">
        <v>98</v>
      </c>
      <c r="B1882" s="6">
        <v>45636</v>
      </c>
      <c r="C1882" t="s">
        <v>201</v>
      </c>
      <c r="D1882" t="s">
        <v>180</v>
      </c>
      <c r="E1882">
        <v>583595</v>
      </c>
      <c r="F1882">
        <v>621.38390000000004</v>
      </c>
    </row>
    <row r="1883" spans="1:6" x14ac:dyDescent="0.25">
      <c r="A1883" t="s">
        <v>98</v>
      </c>
      <c r="B1883" s="6">
        <v>45636</v>
      </c>
      <c r="C1883" t="s">
        <v>201</v>
      </c>
      <c r="D1883" t="s">
        <v>180</v>
      </c>
      <c r="E1883">
        <v>584788</v>
      </c>
      <c r="F1883">
        <v>620.38170000000002</v>
      </c>
    </row>
    <row r="1884" spans="1:6" x14ac:dyDescent="0.25">
      <c r="A1884" t="s">
        <v>98</v>
      </c>
      <c r="B1884" s="6">
        <v>45636</v>
      </c>
      <c r="C1884" t="s">
        <v>201</v>
      </c>
      <c r="D1884" t="s">
        <v>180</v>
      </c>
      <c r="E1884">
        <v>587095</v>
      </c>
      <c r="F1884">
        <v>619.12120000000004</v>
      </c>
    </row>
    <row r="1885" spans="1:6" x14ac:dyDescent="0.25">
      <c r="A1885" t="s">
        <v>98</v>
      </c>
      <c r="B1885" s="6">
        <v>45636</v>
      </c>
      <c r="C1885" t="s">
        <v>201</v>
      </c>
      <c r="D1885" t="s">
        <v>180</v>
      </c>
      <c r="E1885">
        <v>589409</v>
      </c>
      <c r="F1885">
        <v>618.18650000000002</v>
      </c>
    </row>
    <row r="1886" spans="1:6" x14ac:dyDescent="0.25">
      <c r="A1886" t="s">
        <v>98</v>
      </c>
      <c r="B1886" s="6">
        <v>45636</v>
      </c>
      <c r="C1886" t="s">
        <v>201</v>
      </c>
      <c r="D1886" t="s">
        <v>180</v>
      </c>
      <c r="E1886">
        <v>591516</v>
      </c>
      <c r="F1886">
        <v>617.14110000000005</v>
      </c>
    </row>
    <row r="1887" spans="1:6" x14ac:dyDescent="0.25">
      <c r="A1887" t="s">
        <v>98</v>
      </c>
      <c r="B1887" s="6">
        <v>45636</v>
      </c>
      <c r="C1887" t="s">
        <v>201</v>
      </c>
      <c r="D1887" t="s">
        <v>180</v>
      </c>
      <c r="E1887">
        <v>591912</v>
      </c>
      <c r="F1887">
        <v>615.97889999999995</v>
      </c>
    </row>
    <row r="1888" spans="1:6" x14ac:dyDescent="0.25">
      <c r="A1888" t="s">
        <v>98</v>
      </c>
      <c r="B1888" s="6">
        <v>45636</v>
      </c>
      <c r="C1888" t="s">
        <v>201</v>
      </c>
      <c r="D1888" t="s">
        <v>180</v>
      </c>
      <c r="E1888">
        <v>592641</v>
      </c>
      <c r="F1888">
        <v>614.88819999999998</v>
      </c>
    </row>
    <row r="1889" spans="1:6" x14ac:dyDescent="0.25">
      <c r="A1889" t="s">
        <v>98</v>
      </c>
      <c r="B1889" s="6">
        <v>45636</v>
      </c>
      <c r="C1889" t="s">
        <v>201</v>
      </c>
      <c r="D1889" t="s">
        <v>180</v>
      </c>
      <c r="E1889">
        <v>593633</v>
      </c>
      <c r="F1889">
        <v>613.77800000000002</v>
      </c>
    </row>
    <row r="1890" spans="1:6" x14ac:dyDescent="0.25">
      <c r="A1890" t="s">
        <v>98</v>
      </c>
      <c r="B1890" s="6">
        <v>45636</v>
      </c>
      <c r="C1890" t="s">
        <v>201</v>
      </c>
      <c r="D1890" t="s">
        <v>180</v>
      </c>
      <c r="E1890">
        <v>0</v>
      </c>
      <c r="F1890">
        <v>625.39</v>
      </c>
    </row>
    <row r="1891" spans="1:6" x14ac:dyDescent="0.25">
      <c r="A1891" t="s">
        <v>98</v>
      </c>
      <c r="B1891" s="6">
        <v>45636</v>
      </c>
      <c r="C1891" t="s">
        <v>201</v>
      </c>
      <c r="D1891" t="s">
        <v>180</v>
      </c>
      <c r="E1891">
        <v>103</v>
      </c>
      <c r="F1891">
        <v>624.6</v>
      </c>
    </row>
    <row r="1892" spans="1:6" x14ac:dyDescent="0.25">
      <c r="A1892" t="s">
        <v>98</v>
      </c>
      <c r="B1892" s="6">
        <v>45636</v>
      </c>
      <c r="C1892" t="s">
        <v>201</v>
      </c>
      <c r="D1892" t="s">
        <v>180</v>
      </c>
      <c r="E1892">
        <v>603</v>
      </c>
      <c r="F1892">
        <v>623.71669999999995</v>
      </c>
    </row>
    <row r="1893" spans="1:6" x14ac:dyDescent="0.25">
      <c r="A1893" t="s">
        <v>98</v>
      </c>
      <c r="B1893" s="6">
        <v>45636</v>
      </c>
      <c r="C1893" t="s">
        <v>201</v>
      </c>
      <c r="D1893" t="s">
        <v>180</v>
      </c>
      <c r="E1893">
        <v>2033</v>
      </c>
      <c r="F1893">
        <v>622.75649999999996</v>
      </c>
    </row>
    <row r="1894" spans="1:6" x14ac:dyDescent="0.25">
      <c r="A1894" t="s">
        <v>98</v>
      </c>
      <c r="B1894" s="6">
        <v>45636</v>
      </c>
      <c r="C1894" t="s">
        <v>201</v>
      </c>
      <c r="D1894" t="s">
        <v>180</v>
      </c>
      <c r="E1894">
        <v>3898</v>
      </c>
      <c r="F1894">
        <v>621.69820000000004</v>
      </c>
    </row>
    <row r="1895" spans="1:6" x14ac:dyDescent="0.25">
      <c r="A1895" t="s">
        <v>98</v>
      </c>
      <c r="B1895" s="6">
        <v>45636</v>
      </c>
      <c r="C1895" t="s">
        <v>201</v>
      </c>
      <c r="D1895" t="s">
        <v>180</v>
      </c>
      <c r="E1895">
        <v>5719</v>
      </c>
      <c r="F1895">
        <v>620.71180000000004</v>
      </c>
    </row>
    <row r="1896" spans="1:6" x14ac:dyDescent="0.25">
      <c r="A1896" t="s">
        <v>98</v>
      </c>
      <c r="B1896" s="6">
        <v>45636</v>
      </c>
      <c r="C1896" t="s">
        <v>201</v>
      </c>
      <c r="D1896" t="s">
        <v>180</v>
      </c>
      <c r="E1896">
        <v>9154</v>
      </c>
      <c r="F1896">
        <v>619.59109999999998</v>
      </c>
    </row>
    <row r="1897" spans="1:6" x14ac:dyDescent="0.25">
      <c r="A1897" t="s">
        <v>98</v>
      </c>
      <c r="B1897" s="6">
        <v>45636</v>
      </c>
      <c r="C1897" t="s">
        <v>201</v>
      </c>
      <c r="D1897" t="s">
        <v>180</v>
      </c>
      <c r="E1897">
        <v>12082</v>
      </c>
      <c r="F1897">
        <v>618.70039999999995</v>
      </c>
    </row>
    <row r="1898" spans="1:6" x14ac:dyDescent="0.25">
      <c r="A1898" t="s">
        <v>98</v>
      </c>
      <c r="B1898" s="6">
        <v>45636</v>
      </c>
      <c r="C1898" t="s">
        <v>201</v>
      </c>
      <c r="D1898" t="s">
        <v>180</v>
      </c>
      <c r="E1898">
        <v>16850</v>
      </c>
      <c r="F1898">
        <v>617.76300000000003</v>
      </c>
    </row>
    <row r="1899" spans="1:6" x14ac:dyDescent="0.25">
      <c r="A1899" t="s">
        <v>98</v>
      </c>
      <c r="B1899" s="6">
        <v>45636</v>
      </c>
      <c r="C1899" t="s">
        <v>201</v>
      </c>
      <c r="D1899" t="s">
        <v>180</v>
      </c>
      <c r="E1899">
        <v>18769</v>
      </c>
      <c r="F1899">
        <v>616.59550000000002</v>
      </c>
    </row>
    <row r="1900" spans="1:6" x14ac:dyDescent="0.25">
      <c r="A1900" t="s">
        <v>98</v>
      </c>
      <c r="B1900" s="6">
        <v>45636</v>
      </c>
      <c r="C1900" t="s">
        <v>201</v>
      </c>
      <c r="D1900" t="s">
        <v>180</v>
      </c>
      <c r="E1900">
        <v>19707</v>
      </c>
      <c r="F1900">
        <v>615.31600000000003</v>
      </c>
    </row>
    <row r="1901" spans="1:6" x14ac:dyDescent="0.25">
      <c r="A1901" t="s">
        <v>98</v>
      </c>
      <c r="B1901" s="6">
        <v>45636</v>
      </c>
      <c r="C1901" t="s">
        <v>201</v>
      </c>
      <c r="D1901" t="s">
        <v>180</v>
      </c>
      <c r="E1901">
        <v>20927</v>
      </c>
      <c r="F1901">
        <v>614.50580000000002</v>
      </c>
    </row>
    <row r="1902" spans="1:6" x14ac:dyDescent="0.25">
      <c r="A1902" t="s">
        <v>98</v>
      </c>
      <c r="B1902" s="6">
        <v>45636</v>
      </c>
      <c r="C1902" t="s">
        <v>201</v>
      </c>
      <c r="D1902" t="s">
        <v>180</v>
      </c>
      <c r="E1902">
        <v>22347</v>
      </c>
      <c r="F1902">
        <v>613.31880000000001</v>
      </c>
    </row>
    <row r="1903" spans="1:6" x14ac:dyDescent="0.25">
      <c r="A1903" t="s">
        <v>98</v>
      </c>
      <c r="B1903" s="6">
        <v>45636</v>
      </c>
      <c r="C1903" t="s">
        <v>201</v>
      </c>
      <c r="D1903" t="s">
        <v>10</v>
      </c>
      <c r="E1903">
        <v>22946</v>
      </c>
      <c r="F1903">
        <v>0</v>
      </c>
    </row>
    <row r="1904" spans="1:6" x14ac:dyDescent="0.25">
      <c r="A1904" t="s">
        <v>98</v>
      </c>
      <c r="B1904" s="6">
        <v>45635</v>
      </c>
      <c r="C1904" t="s">
        <v>201</v>
      </c>
      <c r="D1904" t="s">
        <v>180</v>
      </c>
      <c r="E1904">
        <v>594129</v>
      </c>
      <c r="F1904">
        <v>625.64070000000004</v>
      </c>
    </row>
    <row r="1905" spans="1:6" x14ac:dyDescent="0.25">
      <c r="A1905" t="s">
        <v>98</v>
      </c>
      <c r="B1905" s="6">
        <v>45635</v>
      </c>
      <c r="C1905" t="s">
        <v>201</v>
      </c>
      <c r="D1905" t="s">
        <v>180</v>
      </c>
      <c r="E1905">
        <v>594425</v>
      </c>
      <c r="F1905">
        <v>624.17970000000003</v>
      </c>
    </row>
    <row r="1906" spans="1:6" x14ac:dyDescent="0.25">
      <c r="A1906" t="s">
        <v>98</v>
      </c>
      <c r="B1906" s="6">
        <v>45635</v>
      </c>
      <c r="C1906" t="s">
        <v>201</v>
      </c>
      <c r="D1906" t="s">
        <v>180</v>
      </c>
      <c r="E1906">
        <v>594873</v>
      </c>
      <c r="F1906">
        <v>622.65419999999995</v>
      </c>
    </row>
    <row r="1907" spans="1:6" x14ac:dyDescent="0.25">
      <c r="A1907" t="s">
        <v>98</v>
      </c>
      <c r="B1907" s="6">
        <v>45635</v>
      </c>
      <c r="C1907" t="s">
        <v>201</v>
      </c>
      <c r="D1907" t="s">
        <v>180</v>
      </c>
      <c r="E1907">
        <v>595169</v>
      </c>
      <c r="F1907">
        <v>621.93550000000005</v>
      </c>
    </row>
    <row r="1908" spans="1:6" x14ac:dyDescent="0.25">
      <c r="A1908" t="s">
        <v>98</v>
      </c>
      <c r="B1908" s="6">
        <v>45635</v>
      </c>
      <c r="C1908" t="s">
        <v>201</v>
      </c>
      <c r="D1908" t="s">
        <v>180</v>
      </c>
      <c r="E1908">
        <v>596253</v>
      </c>
      <c r="F1908">
        <v>620.87940000000003</v>
      </c>
    </row>
    <row r="1909" spans="1:6" x14ac:dyDescent="0.25">
      <c r="A1909" t="s">
        <v>98</v>
      </c>
      <c r="B1909" s="6">
        <v>45635</v>
      </c>
      <c r="C1909" t="s">
        <v>201</v>
      </c>
      <c r="D1909" t="s">
        <v>180</v>
      </c>
      <c r="E1909">
        <v>597157</v>
      </c>
      <c r="F1909">
        <v>619.8546</v>
      </c>
    </row>
    <row r="1910" spans="1:6" x14ac:dyDescent="0.25">
      <c r="A1910" t="s">
        <v>98</v>
      </c>
      <c r="B1910" s="6">
        <v>45635</v>
      </c>
      <c r="C1910" t="s">
        <v>201</v>
      </c>
      <c r="D1910" t="s">
        <v>180</v>
      </c>
      <c r="E1910">
        <v>597649</v>
      </c>
      <c r="F1910">
        <v>618.42999999999995</v>
      </c>
    </row>
    <row r="1911" spans="1:6" x14ac:dyDescent="0.25">
      <c r="A1911" t="s">
        <v>98</v>
      </c>
      <c r="B1911" s="6">
        <v>45635</v>
      </c>
      <c r="C1911" t="s">
        <v>201</v>
      </c>
      <c r="D1911" t="s">
        <v>180</v>
      </c>
      <c r="E1911">
        <v>597849</v>
      </c>
      <c r="F1911">
        <v>617.26499999999999</v>
      </c>
    </row>
    <row r="1912" spans="1:6" x14ac:dyDescent="0.25">
      <c r="A1912" t="s">
        <v>98</v>
      </c>
      <c r="B1912" s="6">
        <v>45635</v>
      </c>
      <c r="C1912" t="s">
        <v>201</v>
      </c>
      <c r="D1912" t="s">
        <v>180</v>
      </c>
      <c r="E1912">
        <v>598041</v>
      </c>
      <c r="F1912">
        <v>614.86009999999999</v>
      </c>
    </row>
    <row r="1913" spans="1:6" x14ac:dyDescent="0.25">
      <c r="A1913" t="s">
        <v>98</v>
      </c>
      <c r="B1913" s="6">
        <v>45635</v>
      </c>
      <c r="C1913" t="s">
        <v>201</v>
      </c>
      <c r="D1913" t="s">
        <v>180</v>
      </c>
      <c r="E1913">
        <v>598536</v>
      </c>
      <c r="F1913">
        <v>613.5317</v>
      </c>
    </row>
    <row r="1914" spans="1:6" x14ac:dyDescent="0.25">
      <c r="A1914" t="s">
        <v>98</v>
      </c>
      <c r="B1914" s="6">
        <v>45635</v>
      </c>
      <c r="C1914" t="s">
        <v>201</v>
      </c>
      <c r="D1914" t="s">
        <v>180</v>
      </c>
      <c r="E1914">
        <v>599322</v>
      </c>
      <c r="F1914">
        <v>612.56679999999994</v>
      </c>
    </row>
    <row r="1915" spans="1:6" x14ac:dyDescent="0.25">
      <c r="A1915" t="s">
        <v>98</v>
      </c>
      <c r="B1915" s="6">
        <v>45635</v>
      </c>
      <c r="C1915" t="s">
        <v>201</v>
      </c>
      <c r="D1915" t="s">
        <v>180</v>
      </c>
      <c r="E1915">
        <v>600733</v>
      </c>
      <c r="F1915">
        <v>611.60140000000001</v>
      </c>
    </row>
    <row r="1916" spans="1:6" x14ac:dyDescent="0.25">
      <c r="A1916" t="s">
        <v>98</v>
      </c>
      <c r="B1916" s="6">
        <v>45635</v>
      </c>
      <c r="C1916" t="s">
        <v>201</v>
      </c>
      <c r="D1916" t="s">
        <v>180</v>
      </c>
      <c r="E1916">
        <v>602376</v>
      </c>
      <c r="F1916">
        <v>610.55010000000004</v>
      </c>
    </row>
    <row r="1917" spans="1:6" x14ac:dyDescent="0.25">
      <c r="A1917" t="s">
        <v>98</v>
      </c>
      <c r="B1917" s="6">
        <v>45635</v>
      </c>
      <c r="C1917" t="s">
        <v>201</v>
      </c>
      <c r="D1917" t="s">
        <v>180</v>
      </c>
      <c r="E1917">
        <v>604961</v>
      </c>
      <c r="F1917">
        <v>609.66229999999996</v>
      </c>
    </row>
    <row r="1918" spans="1:6" x14ac:dyDescent="0.25">
      <c r="A1918" t="s">
        <v>98</v>
      </c>
      <c r="B1918" s="6">
        <v>45635</v>
      </c>
      <c r="C1918" t="s">
        <v>201</v>
      </c>
      <c r="D1918" t="s">
        <v>180</v>
      </c>
      <c r="E1918">
        <v>606712</v>
      </c>
      <c r="F1918">
        <v>607.99</v>
      </c>
    </row>
    <row r="1919" spans="1:6" x14ac:dyDescent="0.25">
      <c r="A1919" t="s">
        <v>98</v>
      </c>
      <c r="B1919" s="6">
        <v>45635</v>
      </c>
      <c r="C1919" t="s">
        <v>201</v>
      </c>
      <c r="D1919" t="s">
        <v>180</v>
      </c>
      <c r="E1919">
        <v>606808</v>
      </c>
      <c r="F1919">
        <v>606.93119999999999</v>
      </c>
    </row>
    <row r="1920" spans="1:6" x14ac:dyDescent="0.25">
      <c r="A1920" t="s">
        <v>98</v>
      </c>
      <c r="B1920" s="6">
        <v>45635</v>
      </c>
      <c r="C1920" t="s">
        <v>201</v>
      </c>
      <c r="D1920" t="s">
        <v>10</v>
      </c>
      <c r="E1920">
        <v>193927069</v>
      </c>
      <c r="F1920">
        <v>0</v>
      </c>
    </row>
    <row r="1921" spans="1:6" x14ac:dyDescent="0.25">
      <c r="A1921" t="s">
        <v>98</v>
      </c>
      <c r="B1921" s="6">
        <v>45635</v>
      </c>
      <c r="C1921" t="s">
        <v>201</v>
      </c>
      <c r="D1921" t="s">
        <v>180</v>
      </c>
      <c r="E1921">
        <v>0</v>
      </c>
      <c r="F1921">
        <v>625.46420000000001</v>
      </c>
    </row>
    <row r="1922" spans="1:6" x14ac:dyDescent="0.25">
      <c r="A1922" t="s">
        <v>98</v>
      </c>
      <c r="B1922" s="6">
        <v>45635</v>
      </c>
      <c r="C1922" t="s">
        <v>201</v>
      </c>
      <c r="D1922" t="s">
        <v>180</v>
      </c>
      <c r="E1922">
        <v>527</v>
      </c>
      <c r="F1922">
        <v>624.33019999999999</v>
      </c>
    </row>
    <row r="1923" spans="1:6" x14ac:dyDescent="0.25">
      <c r="A1923" t="s">
        <v>98</v>
      </c>
      <c r="B1923" s="6">
        <v>45635</v>
      </c>
      <c r="C1923" t="s">
        <v>201</v>
      </c>
      <c r="D1923" t="s">
        <v>180</v>
      </c>
      <c r="E1923">
        <v>1207</v>
      </c>
      <c r="F1923">
        <v>622.75030000000004</v>
      </c>
    </row>
    <row r="1924" spans="1:6" x14ac:dyDescent="0.25">
      <c r="A1924" t="s">
        <v>98</v>
      </c>
      <c r="B1924" s="6">
        <v>45635</v>
      </c>
      <c r="C1924" t="s">
        <v>201</v>
      </c>
      <c r="D1924" t="s">
        <v>180</v>
      </c>
      <c r="E1924">
        <v>2007</v>
      </c>
      <c r="F1924">
        <v>621.83960000000002</v>
      </c>
    </row>
    <row r="1925" spans="1:6" x14ac:dyDescent="0.25">
      <c r="A1925" t="s">
        <v>98</v>
      </c>
      <c r="B1925" s="6">
        <v>45635</v>
      </c>
      <c r="C1925" t="s">
        <v>201</v>
      </c>
      <c r="D1925" t="s">
        <v>180</v>
      </c>
      <c r="E1925">
        <v>4050</v>
      </c>
      <c r="F1925">
        <v>620.7364</v>
      </c>
    </row>
    <row r="1926" spans="1:6" x14ac:dyDescent="0.25">
      <c r="A1926" t="s">
        <v>98</v>
      </c>
      <c r="B1926" s="6">
        <v>45635</v>
      </c>
      <c r="C1926" t="s">
        <v>201</v>
      </c>
      <c r="D1926" t="s">
        <v>180</v>
      </c>
      <c r="E1926">
        <v>5568</v>
      </c>
      <c r="F1926">
        <v>619.75</v>
      </c>
    </row>
    <row r="1927" spans="1:6" x14ac:dyDescent="0.25">
      <c r="A1927" t="s">
        <v>98</v>
      </c>
      <c r="B1927" s="6">
        <v>45635</v>
      </c>
      <c r="C1927" t="s">
        <v>201</v>
      </c>
      <c r="D1927" t="s">
        <v>180</v>
      </c>
      <c r="E1927">
        <v>6238</v>
      </c>
      <c r="F1927">
        <v>618.11789999999996</v>
      </c>
    </row>
    <row r="1928" spans="1:6" x14ac:dyDescent="0.25">
      <c r="A1928" t="s">
        <v>98</v>
      </c>
      <c r="B1928" s="6">
        <v>45635</v>
      </c>
      <c r="C1928" t="s">
        <v>201</v>
      </c>
      <c r="D1928" t="s">
        <v>180</v>
      </c>
      <c r="E1928">
        <v>6632</v>
      </c>
      <c r="F1928">
        <v>616.65589999999997</v>
      </c>
    </row>
    <row r="1929" spans="1:6" x14ac:dyDescent="0.25">
      <c r="A1929" t="s">
        <v>98</v>
      </c>
      <c r="B1929" s="6">
        <v>45635</v>
      </c>
      <c r="C1929" t="s">
        <v>201</v>
      </c>
      <c r="D1929" t="s">
        <v>180</v>
      </c>
      <c r="E1929">
        <v>7027</v>
      </c>
      <c r="F1929">
        <v>614.45479999999998</v>
      </c>
    </row>
    <row r="1930" spans="1:6" x14ac:dyDescent="0.25">
      <c r="A1930" t="s">
        <v>98</v>
      </c>
      <c r="B1930" s="6">
        <v>45635</v>
      </c>
      <c r="C1930" t="s">
        <v>201</v>
      </c>
      <c r="D1930" t="s">
        <v>180</v>
      </c>
      <c r="E1930">
        <v>7717</v>
      </c>
      <c r="F1930">
        <v>613.39819999999997</v>
      </c>
    </row>
    <row r="1931" spans="1:6" x14ac:dyDescent="0.25">
      <c r="A1931" t="s">
        <v>98</v>
      </c>
      <c r="B1931" s="6">
        <v>45635</v>
      </c>
      <c r="C1931" t="s">
        <v>201</v>
      </c>
      <c r="D1931" t="s">
        <v>180</v>
      </c>
      <c r="E1931">
        <v>9890</v>
      </c>
      <c r="F1931">
        <v>612.4135</v>
      </c>
    </row>
    <row r="1932" spans="1:6" x14ac:dyDescent="0.25">
      <c r="A1932" t="s">
        <v>98</v>
      </c>
      <c r="B1932" s="6">
        <v>45635</v>
      </c>
      <c r="C1932" t="s">
        <v>201</v>
      </c>
      <c r="D1932" t="s">
        <v>180</v>
      </c>
      <c r="E1932">
        <v>12428</v>
      </c>
      <c r="F1932">
        <v>611.327</v>
      </c>
    </row>
    <row r="1933" spans="1:6" x14ac:dyDescent="0.25">
      <c r="A1933" t="s">
        <v>98</v>
      </c>
      <c r="B1933" s="6">
        <v>45635</v>
      </c>
      <c r="C1933" t="s">
        <v>201</v>
      </c>
      <c r="D1933" t="s">
        <v>180</v>
      </c>
      <c r="E1933">
        <v>15346</v>
      </c>
      <c r="F1933">
        <v>610.34450000000004</v>
      </c>
    </row>
    <row r="1934" spans="1:6" x14ac:dyDescent="0.25">
      <c r="A1934" t="s">
        <v>98</v>
      </c>
      <c r="B1934" s="6">
        <v>45635</v>
      </c>
      <c r="C1934" t="s">
        <v>201</v>
      </c>
      <c r="D1934" t="s">
        <v>180</v>
      </c>
      <c r="E1934">
        <v>19761</v>
      </c>
      <c r="F1934">
        <v>609.56380000000001</v>
      </c>
    </row>
    <row r="1935" spans="1:6" x14ac:dyDescent="0.25">
      <c r="A1935" t="s">
        <v>98</v>
      </c>
      <c r="B1935" s="6">
        <v>45635</v>
      </c>
      <c r="C1935" t="s">
        <v>201</v>
      </c>
      <c r="D1935" t="s">
        <v>180</v>
      </c>
      <c r="E1935">
        <v>22253</v>
      </c>
      <c r="F1935">
        <v>607.64</v>
      </c>
    </row>
    <row r="1936" spans="1:6" x14ac:dyDescent="0.25">
      <c r="A1936" t="s">
        <v>98</v>
      </c>
      <c r="B1936" s="6">
        <v>45635</v>
      </c>
      <c r="C1936" t="s">
        <v>201</v>
      </c>
      <c r="D1936" t="s">
        <v>180</v>
      </c>
      <c r="E1936">
        <v>22453</v>
      </c>
      <c r="F1936">
        <v>606.79880000000003</v>
      </c>
    </row>
    <row r="1937" spans="1:6" x14ac:dyDescent="0.25">
      <c r="A1937" t="s">
        <v>98</v>
      </c>
      <c r="B1937" s="6">
        <v>45635</v>
      </c>
      <c r="C1937" t="s">
        <v>201</v>
      </c>
      <c r="D1937" t="s">
        <v>10</v>
      </c>
      <c r="E1937">
        <v>22946</v>
      </c>
      <c r="F1937">
        <v>0</v>
      </c>
    </row>
    <row r="1938" spans="1:6" x14ac:dyDescent="0.25">
      <c r="A1938" t="s">
        <v>98</v>
      </c>
      <c r="B1938" s="6">
        <v>45635</v>
      </c>
      <c r="C1938" t="s">
        <v>196</v>
      </c>
      <c r="D1938" t="s">
        <v>180</v>
      </c>
      <c r="E1938">
        <v>18753</v>
      </c>
      <c r="F1938">
        <v>623.5</v>
      </c>
    </row>
    <row r="1939" spans="1:6" x14ac:dyDescent="0.25">
      <c r="A1939" t="s">
        <v>98</v>
      </c>
      <c r="B1939" s="6">
        <v>45632</v>
      </c>
      <c r="C1939" t="s">
        <v>201</v>
      </c>
      <c r="D1939" t="s">
        <v>180</v>
      </c>
      <c r="E1939">
        <v>607104</v>
      </c>
      <c r="F1939">
        <v>629.35289999999998</v>
      </c>
    </row>
    <row r="1940" spans="1:6" x14ac:dyDescent="0.25">
      <c r="A1940" t="s">
        <v>98</v>
      </c>
      <c r="B1940" s="6">
        <v>45632</v>
      </c>
      <c r="C1940" t="s">
        <v>201</v>
      </c>
      <c r="D1940" t="s">
        <v>180</v>
      </c>
      <c r="E1940">
        <v>607240</v>
      </c>
      <c r="F1940">
        <v>628.05820000000006</v>
      </c>
    </row>
    <row r="1941" spans="1:6" x14ac:dyDescent="0.25">
      <c r="A1941" t="s">
        <v>98</v>
      </c>
      <c r="B1941" s="6">
        <v>45632</v>
      </c>
      <c r="C1941" t="s">
        <v>201</v>
      </c>
      <c r="D1941" t="s">
        <v>180</v>
      </c>
      <c r="E1941">
        <v>607361</v>
      </c>
      <c r="F1941">
        <v>627.29200000000003</v>
      </c>
    </row>
    <row r="1942" spans="1:6" x14ac:dyDescent="0.25">
      <c r="A1942" t="s">
        <v>98</v>
      </c>
      <c r="B1942" s="6">
        <v>45632</v>
      </c>
      <c r="C1942" t="s">
        <v>201</v>
      </c>
      <c r="D1942" t="s">
        <v>180</v>
      </c>
      <c r="E1942">
        <v>607963</v>
      </c>
      <c r="F1942">
        <v>626.29560000000004</v>
      </c>
    </row>
    <row r="1943" spans="1:6" x14ac:dyDescent="0.25">
      <c r="A1943" t="s">
        <v>98</v>
      </c>
      <c r="B1943" s="6">
        <v>45632</v>
      </c>
      <c r="C1943" t="s">
        <v>201</v>
      </c>
      <c r="D1943" t="s">
        <v>180</v>
      </c>
      <c r="E1943">
        <v>609347</v>
      </c>
      <c r="F1943">
        <v>625.01110000000006</v>
      </c>
    </row>
    <row r="1944" spans="1:6" x14ac:dyDescent="0.25">
      <c r="A1944" t="s">
        <v>98</v>
      </c>
      <c r="B1944" s="6">
        <v>45632</v>
      </c>
      <c r="C1944" t="s">
        <v>201</v>
      </c>
      <c r="D1944" t="s">
        <v>180</v>
      </c>
      <c r="E1944">
        <v>611233</v>
      </c>
      <c r="F1944">
        <v>623.94569999999999</v>
      </c>
    </row>
    <row r="1945" spans="1:6" x14ac:dyDescent="0.25">
      <c r="A1945" t="s">
        <v>98</v>
      </c>
      <c r="B1945" s="6">
        <v>45632</v>
      </c>
      <c r="C1945" t="s">
        <v>201</v>
      </c>
      <c r="D1945" t="s">
        <v>180</v>
      </c>
      <c r="E1945">
        <v>613102</v>
      </c>
      <c r="F1945">
        <v>622.79430000000002</v>
      </c>
    </row>
    <row r="1946" spans="1:6" x14ac:dyDescent="0.25">
      <c r="A1946" t="s">
        <v>98</v>
      </c>
      <c r="B1946" s="6">
        <v>45632</v>
      </c>
      <c r="C1946" t="s">
        <v>201</v>
      </c>
      <c r="D1946" t="s">
        <v>180</v>
      </c>
      <c r="E1946">
        <v>614980</v>
      </c>
      <c r="F1946">
        <v>621.8836</v>
      </c>
    </row>
    <row r="1947" spans="1:6" x14ac:dyDescent="0.25">
      <c r="A1947" t="s">
        <v>98</v>
      </c>
      <c r="B1947" s="6">
        <v>45632</v>
      </c>
      <c r="C1947" t="s">
        <v>201</v>
      </c>
      <c r="D1947" t="s">
        <v>180</v>
      </c>
      <c r="E1947">
        <v>616115</v>
      </c>
      <c r="F1947">
        <v>620.67070000000001</v>
      </c>
    </row>
    <row r="1948" spans="1:6" x14ac:dyDescent="0.25">
      <c r="A1948" t="s">
        <v>98</v>
      </c>
      <c r="B1948" s="6">
        <v>45632</v>
      </c>
      <c r="C1948" t="s">
        <v>201</v>
      </c>
      <c r="D1948" t="s">
        <v>180</v>
      </c>
      <c r="E1948">
        <v>616753</v>
      </c>
      <c r="F1948">
        <v>619.47140000000002</v>
      </c>
    </row>
    <row r="1949" spans="1:6" x14ac:dyDescent="0.25">
      <c r="A1949" t="s">
        <v>98</v>
      </c>
      <c r="B1949" s="6">
        <v>45632</v>
      </c>
      <c r="C1949" t="s">
        <v>201</v>
      </c>
      <c r="D1949" t="s">
        <v>180</v>
      </c>
      <c r="E1949">
        <v>617151</v>
      </c>
      <c r="F1949">
        <v>618.66999999999996</v>
      </c>
    </row>
    <row r="1950" spans="1:6" x14ac:dyDescent="0.25">
      <c r="A1950" t="s">
        <v>98</v>
      </c>
      <c r="B1950" s="6">
        <v>45632</v>
      </c>
      <c r="C1950" t="s">
        <v>201</v>
      </c>
      <c r="D1950" t="s">
        <v>180</v>
      </c>
      <c r="E1950">
        <v>617631</v>
      </c>
      <c r="F1950">
        <v>617.29930000000002</v>
      </c>
    </row>
    <row r="1951" spans="1:6" x14ac:dyDescent="0.25">
      <c r="A1951" t="s">
        <v>98</v>
      </c>
      <c r="B1951" s="6">
        <v>45632</v>
      </c>
      <c r="C1951" t="s">
        <v>201</v>
      </c>
      <c r="D1951" t="s">
        <v>180</v>
      </c>
      <c r="E1951">
        <v>618214</v>
      </c>
      <c r="F1951">
        <v>616.09429999999998</v>
      </c>
    </row>
    <row r="1952" spans="1:6" x14ac:dyDescent="0.25">
      <c r="A1952" t="s">
        <v>98</v>
      </c>
      <c r="B1952" s="6">
        <v>45632</v>
      </c>
      <c r="C1952" t="s">
        <v>201</v>
      </c>
      <c r="D1952" t="s">
        <v>180</v>
      </c>
      <c r="E1952">
        <v>618615</v>
      </c>
      <c r="F1952">
        <v>614.36500000000001</v>
      </c>
    </row>
    <row r="1953" spans="1:6" x14ac:dyDescent="0.25">
      <c r="A1953" t="s">
        <v>98</v>
      </c>
      <c r="B1953" s="6">
        <v>45632</v>
      </c>
      <c r="C1953" t="s">
        <v>201</v>
      </c>
      <c r="D1953" t="s">
        <v>180</v>
      </c>
      <c r="E1953">
        <v>618815</v>
      </c>
      <c r="F1953">
        <v>612.99739999999997</v>
      </c>
    </row>
    <row r="1954" spans="1:6" x14ac:dyDescent="0.25">
      <c r="A1954" t="s">
        <v>98</v>
      </c>
      <c r="B1954" s="6">
        <v>45632</v>
      </c>
      <c r="C1954" t="s">
        <v>201</v>
      </c>
      <c r="D1954" t="s">
        <v>180</v>
      </c>
      <c r="E1954">
        <v>619207</v>
      </c>
      <c r="F1954">
        <v>611.91849999999999</v>
      </c>
    </row>
    <row r="1955" spans="1:6" x14ac:dyDescent="0.25">
      <c r="A1955" t="s">
        <v>98</v>
      </c>
      <c r="B1955" s="6">
        <v>45632</v>
      </c>
      <c r="C1955" t="s">
        <v>201</v>
      </c>
      <c r="D1955" t="s">
        <v>180</v>
      </c>
      <c r="E1955">
        <v>619695</v>
      </c>
      <c r="F1955">
        <v>610.29499999999996</v>
      </c>
    </row>
    <row r="1956" spans="1:6" x14ac:dyDescent="0.25">
      <c r="A1956" t="s">
        <v>98</v>
      </c>
      <c r="B1956" s="6">
        <v>45632</v>
      </c>
      <c r="C1956" t="s">
        <v>201</v>
      </c>
      <c r="D1956" t="s">
        <v>10</v>
      </c>
      <c r="E1956">
        <v>193950015</v>
      </c>
      <c r="F1956">
        <v>0</v>
      </c>
    </row>
    <row r="1957" spans="1:6" x14ac:dyDescent="0.25">
      <c r="A1957" t="s">
        <v>98</v>
      </c>
      <c r="B1957" s="6">
        <v>45632</v>
      </c>
      <c r="C1957" t="s">
        <v>201</v>
      </c>
      <c r="D1957" t="s">
        <v>180</v>
      </c>
      <c r="E1957">
        <v>0</v>
      </c>
      <c r="F1957">
        <v>628.89</v>
      </c>
    </row>
    <row r="1958" spans="1:6" x14ac:dyDescent="0.25">
      <c r="A1958" t="s">
        <v>98</v>
      </c>
      <c r="B1958" s="6">
        <v>45632</v>
      </c>
      <c r="C1958" t="s">
        <v>201</v>
      </c>
      <c r="D1958" t="s">
        <v>180</v>
      </c>
      <c r="E1958">
        <v>90</v>
      </c>
      <c r="F1958">
        <v>627.98260000000005</v>
      </c>
    </row>
    <row r="1959" spans="1:6" x14ac:dyDescent="0.25">
      <c r="A1959" t="s">
        <v>98</v>
      </c>
      <c r="B1959" s="6">
        <v>45632</v>
      </c>
      <c r="C1959" t="s">
        <v>201</v>
      </c>
      <c r="D1959" t="s">
        <v>180</v>
      </c>
      <c r="E1959">
        <v>675</v>
      </c>
      <c r="F1959">
        <v>627.04280000000006</v>
      </c>
    </row>
    <row r="1960" spans="1:6" x14ac:dyDescent="0.25">
      <c r="A1960" t="s">
        <v>98</v>
      </c>
      <c r="B1960" s="6">
        <v>45632</v>
      </c>
      <c r="C1960" t="s">
        <v>201</v>
      </c>
      <c r="D1960" t="s">
        <v>180</v>
      </c>
      <c r="E1960">
        <v>1828</v>
      </c>
      <c r="F1960">
        <v>626.13049999999998</v>
      </c>
    </row>
    <row r="1961" spans="1:6" x14ac:dyDescent="0.25">
      <c r="A1961" t="s">
        <v>98</v>
      </c>
      <c r="B1961" s="6">
        <v>45632</v>
      </c>
      <c r="C1961" t="s">
        <v>201</v>
      </c>
      <c r="D1961" t="s">
        <v>180</v>
      </c>
      <c r="E1961">
        <v>3925</v>
      </c>
      <c r="F1961">
        <v>625.06169999999997</v>
      </c>
    </row>
    <row r="1962" spans="1:6" x14ac:dyDescent="0.25">
      <c r="A1962" t="s">
        <v>98</v>
      </c>
      <c r="B1962" s="6">
        <v>45632</v>
      </c>
      <c r="C1962" t="s">
        <v>201</v>
      </c>
      <c r="D1962" t="s">
        <v>180</v>
      </c>
      <c r="E1962">
        <v>7141</v>
      </c>
      <c r="F1962">
        <v>623.96960000000001</v>
      </c>
    </row>
    <row r="1963" spans="1:6" x14ac:dyDescent="0.25">
      <c r="A1963" t="s">
        <v>98</v>
      </c>
      <c r="B1963" s="6">
        <v>45632</v>
      </c>
      <c r="C1963" t="s">
        <v>201</v>
      </c>
      <c r="D1963" t="s">
        <v>180</v>
      </c>
      <c r="E1963">
        <v>10392</v>
      </c>
      <c r="F1963">
        <v>622.75099999999998</v>
      </c>
    </row>
    <row r="1964" spans="1:6" x14ac:dyDescent="0.25">
      <c r="A1964" t="s">
        <v>98</v>
      </c>
      <c r="B1964" s="6">
        <v>45632</v>
      </c>
      <c r="C1964" t="s">
        <v>201</v>
      </c>
      <c r="D1964" t="s">
        <v>180</v>
      </c>
      <c r="E1964">
        <v>14298</v>
      </c>
      <c r="F1964">
        <v>621.75879999999995</v>
      </c>
    </row>
    <row r="1965" spans="1:6" x14ac:dyDescent="0.25">
      <c r="A1965" t="s">
        <v>98</v>
      </c>
      <c r="B1965" s="6">
        <v>45632</v>
      </c>
      <c r="C1965" t="s">
        <v>201</v>
      </c>
      <c r="D1965" t="s">
        <v>180</v>
      </c>
      <c r="E1965">
        <v>16012</v>
      </c>
      <c r="F1965">
        <v>620.59720000000004</v>
      </c>
    </row>
    <row r="1966" spans="1:6" x14ac:dyDescent="0.25">
      <c r="A1966" t="s">
        <v>98</v>
      </c>
      <c r="B1966" s="6">
        <v>45632</v>
      </c>
      <c r="C1966" t="s">
        <v>201</v>
      </c>
      <c r="D1966" t="s">
        <v>180</v>
      </c>
      <c r="E1966">
        <v>17016</v>
      </c>
      <c r="F1966">
        <v>619.51080000000002</v>
      </c>
    </row>
    <row r="1967" spans="1:6" x14ac:dyDescent="0.25">
      <c r="A1967" t="s">
        <v>98</v>
      </c>
      <c r="B1967" s="6">
        <v>45632</v>
      </c>
      <c r="C1967" t="s">
        <v>201</v>
      </c>
      <c r="D1967" t="s">
        <v>180</v>
      </c>
      <c r="E1967">
        <v>17991</v>
      </c>
      <c r="F1967">
        <v>618.38729999999998</v>
      </c>
    </row>
    <row r="1968" spans="1:6" x14ac:dyDescent="0.25">
      <c r="A1968" t="s">
        <v>98</v>
      </c>
      <c r="B1968" s="6">
        <v>45632</v>
      </c>
      <c r="C1968" t="s">
        <v>201</v>
      </c>
      <c r="D1968" t="s">
        <v>180</v>
      </c>
      <c r="E1968">
        <v>18598</v>
      </c>
      <c r="F1968">
        <v>617.47029999999995</v>
      </c>
    </row>
    <row r="1969" spans="1:6" x14ac:dyDescent="0.25">
      <c r="A1969" t="s">
        <v>98</v>
      </c>
      <c r="B1969" s="6">
        <v>45632</v>
      </c>
      <c r="C1969" t="s">
        <v>201</v>
      </c>
      <c r="D1969" t="s">
        <v>180</v>
      </c>
      <c r="E1969">
        <v>19360</v>
      </c>
      <c r="F1969">
        <v>616.447</v>
      </c>
    </row>
    <row r="1970" spans="1:6" x14ac:dyDescent="0.25">
      <c r="A1970" t="s">
        <v>98</v>
      </c>
      <c r="B1970" s="6">
        <v>45632</v>
      </c>
      <c r="C1970" t="s">
        <v>201</v>
      </c>
      <c r="D1970" t="s">
        <v>180</v>
      </c>
      <c r="E1970">
        <v>20236</v>
      </c>
      <c r="F1970">
        <v>615.30690000000004</v>
      </c>
    </row>
    <row r="1971" spans="1:6" x14ac:dyDescent="0.25">
      <c r="A1971" t="s">
        <v>98</v>
      </c>
      <c r="B1971" s="6">
        <v>45632</v>
      </c>
      <c r="C1971" t="s">
        <v>201</v>
      </c>
      <c r="D1971" t="s">
        <v>180</v>
      </c>
      <c r="E1971">
        <v>20526</v>
      </c>
      <c r="F1971">
        <v>613.70920000000001</v>
      </c>
    </row>
    <row r="1972" spans="1:6" x14ac:dyDescent="0.25">
      <c r="A1972" t="s">
        <v>98</v>
      </c>
      <c r="B1972" s="6">
        <v>45632</v>
      </c>
      <c r="C1972" t="s">
        <v>201</v>
      </c>
      <c r="D1972" t="s">
        <v>180</v>
      </c>
      <c r="E1972">
        <v>20916</v>
      </c>
      <c r="F1972">
        <v>612.5154</v>
      </c>
    </row>
    <row r="1973" spans="1:6" x14ac:dyDescent="0.25">
      <c r="A1973" t="s">
        <v>98</v>
      </c>
      <c r="B1973" s="6">
        <v>45632</v>
      </c>
      <c r="C1973" t="s">
        <v>201</v>
      </c>
      <c r="D1973" t="s">
        <v>180</v>
      </c>
      <c r="E1973">
        <v>21586</v>
      </c>
      <c r="F1973">
        <v>611.72439999999995</v>
      </c>
    </row>
    <row r="1974" spans="1:6" x14ac:dyDescent="0.25">
      <c r="A1974" t="s">
        <v>98</v>
      </c>
      <c r="B1974" s="6">
        <v>45632</v>
      </c>
      <c r="C1974" t="s">
        <v>201</v>
      </c>
      <c r="D1974" t="s">
        <v>180</v>
      </c>
      <c r="E1974">
        <v>22356</v>
      </c>
      <c r="F1974">
        <v>609.84339999999997</v>
      </c>
    </row>
    <row r="1975" spans="1:6" x14ac:dyDescent="0.25">
      <c r="A1975" t="s">
        <v>98</v>
      </c>
      <c r="B1975" s="6">
        <v>45632</v>
      </c>
      <c r="C1975" t="s">
        <v>201</v>
      </c>
      <c r="D1975" t="s">
        <v>10</v>
      </c>
      <c r="E1975">
        <v>22946</v>
      </c>
      <c r="F1975">
        <v>0</v>
      </c>
    </row>
    <row r="1976" spans="1:6" x14ac:dyDescent="0.25">
      <c r="A1976" t="s">
        <v>98</v>
      </c>
      <c r="B1976" s="6">
        <v>45631</v>
      </c>
      <c r="C1976" t="s">
        <v>201</v>
      </c>
      <c r="D1976" t="s">
        <v>10</v>
      </c>
      <c r="E1976">
        <v>193972961</v>
      </c>
      <c r="F1976">
        <v>0</v>
      </c>
    </row>
    <row r="1977" spans="1:6" x14ac:dyDescent="0.25">
      <c r="A1977" t="s">
        <v>98</v>
      </c>
      <c r="B1977" s="6">
        <v>45631</v>
      </c>
      <c r="C1977" t="s">
        <v>201</v>
      </c>
      <c r="D1977" t="s">
        <v>180</v>
      </c>
      <c r="E1977">
        <v>620079</v>
      </c>
      <c r="F1977">
        <v>619.25</v>
      </c>
    </row>
    <row r="1978" spans="1:6" x14ac:dyDescent="0.25">
      <c r="A1978" t="s">
        <v>98</v>
      </c>
      <c r="B1978" s="6">
        <v>45631</v>
      </c>
      <c r="C1978" t="s">
        <v>201</v>
      </c>
      <c r="D1978" t="s">
        <v>180</v>
      </c>
      <c r="E1978">
        <v>620179</v>
      </c>
      <c r="F1978">
        <v>618.25</v>
      </c>
    </row>
    <row r="1979" spans="1:6" x14ac:dyDescent="0.25">
      <c r="A1979" t="s">
        <v>98</v>
      </c>
      <c r="B1979" s="6">
        <v>45631</v>
      </c>
      <c r="C1979" t="s">
        <v>201</v>
      </c>
      <c r="D1979" t="s">
        <v>180</v>
      </c>
      <c r="E1979">
        <v>620275</v>
      </c>
      <c r="F1979">
        <v>616.89909999999998</v>
      </c>
    </row>
    <row r="1980" spans="1:6" x14ac:dyDescent="0.25">
      <c r="A1980" t="s">
        <v>98</v>
      </c>
      <c r="B1980" s="6">
        <v>45631</v>
      </c>
      <c r="C1980" t="s">
        <v>201</v>
      </c>
      <c r="D1980" t="s">
        <v>180</v>
      </c>
      <c r="E1980">
        <v>620543</v>
      </c>
      <c r="F1980">
        <v>615.27570000000003</v>
      </c>
    </row>
    <row r="1981" spans="1:6" x14ac:dyDescent="0.25">
      <c r="A1981" t="s">
        <v>98</v>
      </c>
      <c r="B1981" s="6">
        <v>45631</v>
      </c>
      <c r="C1981" t="s">
        <v>201</v>
      </c>
      <c r="D1981" t="s">
        <v>180</v>
      </c>
      <c r="E1981">
        <v>620839</v>
      </c>
      <c r="F1981">
        <v>614.00070000000005</v>
      </c>
    </row>
    <row r="1982" spans="1:6" x14ac:dyDescent="0.25">
      <c r="A1982" t="s">
        <v>98</v>
      </c>
      <c r="B1982" s="6">
        <v>45631</v>
      </c>
      <c r="C1982" t="s">
        <v>201</v>
      </c>
      <c r="D1982" t="s">
        <v>180</v>
      </c>
      <c r="E1982">
        <v>622113</v>
      </c>
      <c r="F1982">
        <v>612.79510000000005</v>
      </c>
    </row>
    <row r="1983" spans="1:6" x14ac:dyDescent="0.25">
      <c r="A1983" t="s">
        <v>98</v>
      </c>
      <c r="B1983" s="6">
        <v>45631</v>
      </c>
      <c r="C1983" t="s">
        <v>201</v>
      </c>
      <c r="D1983" t="s">
        <v>180</v>
      </c>
      <c r="E1983">
        <v>623294</v>
      </c>
      <c r="F1983">
        <v>611.9402</v>
      </c>
    </row>
    <row r="1984" spans="1:6" x14ac:dyDescent="0.25">
      <c r="A1984" t="s">
        <v>98</v>
      </c>
      <c r="B1984" s="6">
        <v>45631</v>
      </c>
      <c r="C1984" t="s">
        <v>201</v>
      </c>
      <c r="D1984" t="s">
        <v>180</v>
      </c>
      <c r="E1984">
        <v>625595</v>
      </c>
      <c r="F1984">
        <v>610.96609999999998</v>
      </c>
    </row>
    <row r="1985" spans="1:6" x14ac:dyDescent="0.25">
      <c r="A1985" t="s">
        <v>98</v>
      </c>
      <c r="B1985" s="6">
        <v>45631</v>
      </c>
      <c r="C1985" t="s">
        <v>201</v>
      </c>
      <c r="D1985" t="s">
        <v>180</v>
      </c>
      <c r="E1985">
        <v>627838</v>
      </c>
      <c r="F1985">
        <v>609.76139999999998</v>
      </c>
    </row>
    <row r="1986" spans="1:6" x14ac:dyDescent="0.25">
      <c r="A1986" t="s">
        <v>98</v>
      </c>
      <c r="B1986" s="6">
        <v>45631</v>
      </c>
      <c r="C1986" t="s">
        <v>201</v>
      </c>
      <c r="D1986" t="s">
        <v>180</v>
      </c>
      <c r="E1986">
        <v>629149</v>
      </c>
      <c r="F1986">
        <v>608.78489999999999</v>
      </c>
    </row>
    <row r="1987" spans="1:6" x14ac:dyDescent="0.25">
      <c r="A1987" t="s">
        <v>98</v>
      </c>
      <c r="B1987" s="6">
        <v>45631</v>
      </c>
      <c r="C1987" t="s">
        <v>201</v>
      </c>
      <c r="D1987" t="s">
        <v>180</v>
      </c>
      <c r="E1987">
        <v>631620</v>
      </c>
      <c r="F1987">
        <v>607.92309999999998</v>
      </c>
    </row>
    <row r="1988" spans="1:6" x14ac:dyDescent="0.25">
      <c r="A1988" t="s">
        <v>98</v>
      </c>
      <c r="B1988" s="6">
        <v>45631</v>
      </c>
      <c r="C1988" t="s">
        <v>201</v>
      </c>
      <c r="D1988" t="s">
        <v>180</v>
      </c>
      <c r="E1988">
        <v>0</v>
      </c>
      <c r="F1988">
        <v>619.23</v>
      </c>
    </row>
    <row r="1989" spans="1:6" x14ac:dyDescent="0.25">
      <c r="A1989" t="s">
        <v>98</v>
      </c>
      <c r="B1989" s="6">
        <v>45631</v>
      </c>
      <c r="C1989" t="s">
        <v>201</v>
      </c>
      <c r="D1989" t="s">
        <v>180</v>
      </c>
      <c r="E1989">
        <v>200</v>
      </c>
      <c r="F1989">
        <v>617.54499999999996</v>
      </c>
    </row>
    <row r="1990" spans="1:6" x14ac:dyDescent="0.25">
      <c r="A1990" t="s">
        <v>98</v>
      </c>
      <c r="B1990" s="6">
        <v>45631</v>
      </c>
      <c r="C1990" t="s">
        <v>201</v>
      </c>
      <c r="D1990" t="s">
        <v>180</v>
      </c>
      <c r="E1990">
        <v>600</v>
      </c>
      <c r="F1990">
        <v>616.08169999999996</v>
      </c>
    </row>
    <row r="1991" spans="1:6" x14ac:dyDescent="0.25">
      <c r="A1991" t="s">
        <v>98</v>
      </c>
      <c r="B1991" s="6">
        <v>45631</v>
      </c>
      <c r="C1991" t="s">
        <v>201</v>
      </c>
      <c r="D1991" t="s">
        <v>180</v>
      </c>
      <c r="E1991">
        <v>900</v>
      </c>
      <c r="F1991">
        <v>614.78980000000001</v>
      </c>
    </row>
    <row r="1992" spans="1:6" x14ac:dyDescent="0.25">
      <c r="A1992" t="s">
        <v>98</v>
      </c>
      <c r="B1992" s="6">
        <v>45631</v>
      </c>
      <c r="C1992" t="s">
        <v>201</v>
      </c>
      <c r="D1992" t="s">
        <v>180</v>
      </c>
      <c r="E1992">
        <v>1700</v>
      </c>
      <c r="F1992">
        <v>613.84939999999995</v>
      </c>
    </row>
    <row r="1993" spans="1:6" x14ac:dyDescent="0.25">
      <c r="A1993" t="s">
        <v>98</v>
      </c>
      <c r="B1993" s="6">
        <v>45631</v>
      </c>
      <c r="C1993" t="s">
        <v>201</v>
      </c>
      <c r="D1993" t="s">
        <v>180</v>
      </c>
      <c r="E1993">
        <v>3827</v>
      </c>
      <c r="F1993">
        <v>612.69920000000002</v>
      </c>
    </row>
    <row r="1994" spans="1:6" x14ac:dyDescent="0.25">
      <c r="A1994" t="s">
        <v>98</v>
      </c>
      <c r="B1994" s="6">
        <v>45631</v>
      </c>
      <c r="C1994" t="s">
        <v>201</v>
      </c>
      <c r="D1994" t="s">
        <v>180</v>
      </c>
      <c r="E1994">
        <v>6119</v>
      </c>
      <c r="F1994">
        <v>611.86699999999996</v>
      </c>
    </row>
    <row r="1995" spans="1:6" x14ac:dyDescent="0.25">
      <c r="A1995" t="s">
        <v>98</v>
      </c>
      <c r="B1995" s="6">
        <v>45631</v>
      </c>
      <c r="C1995" t="s">
        <v>201</v>
      </c>
      <c r="D1995" t="s">
        <v>180</v>
      </c>
      <c r="E1995">
        <v>9739</v>
      </c>
      <c r="F1995">
        <v>610.93769999999995</v>
      </c>
    </row>
    <row r="1996" spans="1:6" x14ac:dyDescent="0.25">
      <c r="A1996" t="s">
        <v>98</v>
      </c>
      <c r="B1996" s="6">
        <v>45631</v>
      </c>
      <c r="C1996" t="s">
        <v>201</v>
      </c>
      <c r="D1996" t="s">
        <v>180</v>
      </c>
      <c r="E1996">
        <v>13914</v>
      </c>
      <c r="F1996">
        <v>609.72820000000002</v>
      </c>
    </row>
    <row r="1997" spans="1:6" x14ac:dyDescent="0.25">
      <c r="A1997" t="s">
        <v>98</v>
      </c>
      <c r="B1997" s="6">
        <v>45631</v>
      </c>
      <c r="C1997" t="s">
        <v>201</v>
      </c>
      <c r="D1997" t="s">
        <v>180</v>
      </c>
      <c r="E1997">
        <v>15698</v>
      </c>
      <c r="F1997">
        <v>608.75130000000001</v>
      </c>
    </row>
    <row r="1998" spans="1:6" x14ac:dyDescent="0.25">
      <c r="A1998" t="s">
        <v>98</v>
      </c>
      <c r="B1998" s="6">
        <v>45631</v>
      </c>
      <c r="C1998" t="s">
        <v>201</v>
      </c>
      <c r="D1998" t="s">
        <v>180</v>
      </c>
      <c r="E1998">
        <v>20995</v>
      </c>
      <c r="F1998">
        <v>607.87049999999999</v>
      </c>
    </row>
    <row r="1999" spans="1:6" x14ac:dyDescent="0.25">
      <c r="A1999" t="s">
        <v>98</v>
      </c>
      <c r="B1999" s="6">
        <v>45631</v>
      </c>
      <c r="C1999" t="s">
        <v>201</v>
      </c>
      <c r="D1999" t="s">
        <v>10</v>
      </c>
      <c r="E1999">
        <v>22946</v>
      </c>
      <c r="F1999">
        <v>0</v>
      </c>
    </row>
    <row r="2000" spans="1:6" x14ac:dyDescent="0.25">
      <c r="A2000" t="s">
        <v>98</v>
      </c>
      <c r="B2000" s="6">
        <v>45630</v>
      </c>
      <c r="C2000" t="s">
        <v>201</v>
      </c>
      <c r="D2000" t="s">
        <v>10</v>
      </c>
      <c r="E2000">
        <v>193995907</v>
      </c>
      <c r="F2000">
        <v>0</v>
      </c>
    </row>
    <row r="2001" spans="1:6" x14ac:dyDescent="0.25">
      <c r="A2001" t="s">
        <v>98</v>
      </c>
      <c r="B2001" s="6">
        <v>45630</v>
      </c>
      <c r="C2001" t="s">
        <v>201</v>
      </c>
      <c r="D2001" t="s">
        <v>180</v>
      </c>
      <c r="E2001">
        <v>633054</v>
      </c>
      <c r="F2001">
        <v>616.84550000000002</v>
      </c>
    </row>
    <row r="2002" spans="1:6" x14ac:dyDescent="0.25">
      <c r="A2002" t="s">
        <v>98</v>
      </c>
      <c r="B2002" s="6">
        <v>45630</v>
      </c>
      <c r="C2002" t="s">
        <v>201</v>
      </c>
      <c r="D2002" t="s">
        <v>180</v>
      </c>
      <c r="E2002">
        <v>633346</v>
      </c>
      <c r="F2002">
        <v>615.17930000000001</v>
      </c>
    </row>
    <row r="2003" spans="1:6" x14ac:dyDescent="0.25">
      <c r="A2003" t="s">
        <v>98</v>
      </c>
      <c r="B2003" s="6">
        <v>45630</v>
      </c>
      <c r="C2003" t="s">
        <v>201</v>
      </c>
      <c r="D2003" t="s">
        <v>180</v>
      </c>
      <c r="E2003">
        <v>635132</v>
      </c>
      <c r="F2003">
        <v>614.1694</v>
      </c>
    </row>
    <row r="2004" spans="1:6" x14ac:dyDescent="0.25">
      <c r="A2004" t="s">
        <v>98</v>
      </c>
      <c r="B2004" s="6">
        <v>45630</v>
      </c>
      <c r="C2004" t="s">
        <v>201</v>
      </c>
      <c r="D2004" t="s">
        <v>180</v>
      </c>
      <c r="E2004">
        <v>637346</v>
      </c>
      <c r="F2004">
        <v>613.23389999999995</v>
      </c>
    </row>
    <row r="2005" spans="1:6" x14ac:dyDescent="0.25">
      <c r="A2005" t="s">
        <v>98</v>
      </c>
      <c r="B2005" s="6">
        <v>45630</v>
      </c>
      <c r="C2005" t="s">
        <v>201</v>
      </c>
      <c r="D2005" t="s">
        <v>180</v>
      </c>
      <c r="E2005">
        <v>639236</v>
      </c>
      <c r="F2005">
        <v>612.16359999999997</v>
      </c>
    </row>
    <row r="2006" spans="1:6" x14ac:dyDescent="0.25">
      <c r="A2006" t="s">
        <v>98</v>
      </c>
      <c r="B2006" s="6">
        <v>45630</v>
      </c>
      <c r="C2006" t="s">
        <v>201</v>
      </c>
      <c r="D2006" t="s">
        <v>180</v>
      </c>
      <c r="E2006">
        <v>640140</v>
      </c>
      <c r="F2006">
        <v>610.78139999999996</v>
      </c>
    </row>
    <row r="2007" spans="1:6" x14ac:dyDescent="0.25">
      <c r="A2007" t="s">
        <v>98</v>
      </c>
      <c r="B2007" s="6">
        <v>45630</v>
      </c>
      <c r="C2007" t="s">
        <v>201</v>
      </c>
      <c r="D2007" t="s">
        <v>180</v>
      </c>
      <c r="E2007">
        <v>641596</v>
      </c>
      <c r="F2007">
        <v>610.07590000000005</v>
      </c>
    </row>
    <row r="2008" spans="1:6" x14ac:dyDescent="0.25">
      <c r="A2008" t="s">
        <v>98</v>
      </c>
      <c r="B2008" s="6">
        <v>45630</v>
      </c>
      <c r="C2008" t="s">
        <v>201</v>
      </c>
      <c r="D2008" t="s">
        <v>180</v>
      </c>
      <c r="E2008">
        <v>643621</v>
      </c>
      <c r="F2008">
        <v>608.75959999999998</v>
      </c>
    </row>
    <row r="2009" spans="1:6" x14ac:dyDescent="0.25">
      <c r="A2009" t="s">
        <v>98</v>
      </c>
      <c r="B2009" s="6">
        <v>45630</v>
      </c>
      <c r="C2009" t="s">
        <v>201</v>
      </c>
      <c r="D2009" t="s">
        <v>180</v>
      </c>
      <c r="E2009">
        <v>644573</v>
      </c>
      <c r="F2009">
        <v>607.81110000000001</v>
      </c>
    </row>
    <row r="2010" spans="1:6" x14ac:dyDescent="0.25">
      <c r="A2010" t="s">
        <v>98</v>
      </c>
      <c r="B2010" s="6">
        <v>45630</v>
      </c>
      <c r="C2010" t="s">
        <v>201</v>
      </c>
      <c r="D2010" t="s">
        <v>180</v>
      </c>
      <c r="E2010">
        <v>645541</v>
      </c>
      <c r="F2010">
        <v>606.53489999999999</v>
      </c>
    </row>
    <row r="2011" spans="1:6" x14ac:dyDescent="0.25">
      <c r="A2011" t="s">
        <v>98</v>
      </c>
      <c r="B2011" s="6">
        <v>45630</v>
      </c>
      <c r="C2011" t="s">
        <v>201</v>
      </c>
      <c r="D2011" t="s">
        <v>180</v>
      </c>
      <c r="E2011">
        <v>0</v>
      </c>
      <c r="F2011">
        <v>616.71180000000004</v>
      </c>
    </row>
    <row r="2012" spans="1:6" x14ac:dyDescent="0.25">
      <c r="A2012" t="s">
        <v>98</v>
      </c>
      <c r="B2012" s="6">
        <v>45630</v>
      </c>
      <c r="C2012" t="s">
        <v>201</v>
      </c>
      <c r="D2012" t="s">
        <v>180</v>
      </c>
      <c r="E2012">
        <v>420</v>
      </c>
      <c r="F2012">
        <v>615.64800000000002</v>
      </c>
    </row>
    <row r="2013" spans="1:6" x14ac:dyDescent="0.25">
      <c r="A2013" t="s">
        <v>98</v>
      </c>
      <c r="B2013" s="6">
        <v>45630</v>
      </c>
      <c r="C2013" t="s">
        <v>201</v>
      </c>
      <c r="D2013" t="s">
        <v>180</v>
      </c>
      <c r="E2013">
        <v>1757</v>
      </c>
      <c r="F2013">
        <v>614.83219999999994</v>
      </c>
    </row>
    <row r="2014" spans="1:6" x14ac:dyDescent="0.25">
      <c r="A2014" t="s">
        <v>98</v>
      </c>
      <c r="B2014" s="6">
        <v>45630</v>
      </c>
      <c r="C2014" t="s">
        <v>201</v>
      </c>
      <c r="D2014" t="s">
        <v>180</v>
      </c>
      <c r="E2014">
        <v>4694</v>
      </c>
      <c r="F2014">
        <v>613.80780000000004</v>
      </c>
    </row>
    <row r="2015" spans="1:6" x14ac:dyDescent="0.25">
      <c r="A2015" t="s">
        <v>98</v>
      </c>
      <c r="B2015" s="6">
        <v>45630</v>
      </c>
      <c r="C2015" t="s">
        <v>201</v>
      </c>
      <c r="D2015" t="s">
        <v>180</v>
      </c>
      <c r="E2015">
        <v>9763</v>
      </c>
      <c r="F2015">
        <v>612.77380000000005</v>
      </c>
    </row>
    <row r="2016" spans="1:6" x14ac:dyDescent="0.25">
      <c r="A2016" t="s">
        <v>98</v>
      </c>
      <c r="B2016" s="6">
        <v>45630</v>
      </c>
      <c r="C2016" t="s">
        <v>201</v>
      </c>
      <c r="D2016" t="s">
        <v>180</v>
      </c>
      <c r="E2016">
        <v>11460</v>
      </c>
      <c r="F2016">
        <v>611.88990000000001</v>
      </c>
    </row>
    <row r="2017" spans="1:6" x14ac:dyDescent="0.25">
      <c r="A2017" t="s">
        <v>98</v>
      </c>
      <c r="B2017" s="6">
        <v>45630</v>
      </c>
      <c r="C2017" t="s">
        <v>201</v>
      </c>
      <c r="D2017" t="s">
        <v>180</v>
      </c>
      <c r="E2017">
        <v>12747</v>
      </c>
      <c r="F2017">
        <v>610.50750000000005</v>
      </c>
    </row>
    <row r="2018" spans="1:6" x14ac:dyDescent="0.25">
      <c r="A2018" t="s">
        <v>98</v>
      </c>
      <c r="B2018" s="6">
        <v>45630</v>
      </c>
      <c r="C2018" t="s">
        <v>201</v>
      </c>
      <c r="D2018" t="s">
        <v>180</v>
      </c>
      <c r="E2018">
        <v>16966</v>
      </c>
      <c r="F2018">
        <v>609.71680000000003</v>
      </c>
    </row>
    <row r="2019" spans="1:6" x14ac:dyDescent="0.25">
      <c r="A2019" t="s">
        <v>98</v>
      </c>
      <c r="B2019" s="6">
        <v>45630</v>
      </c>
      <c r="C2019" t="s">
        <v>201</v>
      </c>
      <c r="D2019" t="s">
        <v>180</v>
      </c>
      <c r="E2019">
        <v>18986</v>
      </c>
      <c r="F2019">
        <v>608.45830000000001</v>
      </c>
    </row>
    <row r="2020" spans="1:6" x14ac:dyDescent="0.25">
      <c r="A2020" t="s">
        <v>98</v>
      </c>
      <c r="B2020" s="6">
        <v>45630</v>
      </c>
      <c r="C2020" t="s">
        <v>201</v>
      </c>
      <c r="D2020" t="s">
        <v>180</v>
      </c>
      <c r="E2020">
        <v>21040</v>
      </c>
      <c r="F2020">
        <v>607.4289</v>
      </c>
    </row>
    <row r="2021" spans="1:6" x14ac:dyDescent="0.25">
      <c r="A2021" t="s">
        <v>98</v>
      </c>
      <c r="B2021" s="6">
        <v>45630</v>
      </c>
      <c r="C2021" t="s">
        <v>201</v>
      </c>
      <c r="D2021" t="s">
        <v>180</v>
      </c>
      <c r="E2021">
        <v>22030</v>
      </c>
      <c r="F2021">
        <v>606.5498</v>
      </c>
    </row>
    <row r="2022" spans="1:6" x14ac:dyDescent="0.25">
      <c r="A2022" t="s">
        <v>98</v>
      </c>
      <c r="B2022" s="6">
        <v>45630</v>
      </c>
      <c r="C2022" t="s">
        <v>201</v>
      </c>
      <c r="D2022" t="s">
        <v>10</v>
      </c>
      <c r="E2022">
        <v>22946</v>
      </c>
      <c r="F2022">
        <v>0</v>
      </c>
    </row>
    <row r="2023" spans="1:6" x14ac:dyDescent="0.25">
      <c r="A2023" t="s">
        <v>98</v>
      </c>
      <c r="B2023" s="6">
        <v>45629</v>
      </c>
      <c r="C2023" t="s">
        <v>195</v>
      </c>
      <c r="D2023" t="s">
        <v>180</v>
      </c>
      <c r="E2023">
        <v>36535</v>
      </c>
      <c r="F2023">
        <v>595</v>
      </c>
    </row>
    <row r="2024" spans="1:6" x14ac:dyDescent="0.25">
      <c r="A2024" t="s">
        <v>98</v>
      </c>
      <c r="B2024" s="6">
        <v>45629</v>
      </c>
      <c r="C2024" t="s">
        <v>201</v>
      </c>
      <c r="D2024" t="s">
        <v>10</v>
      </c>
      <c r="E2024">
        <v>194018853</v>
      </c>
      <c r="F2024">
        <v>0</v>
      </c>
    </row>
    <row r="2025" spans="1:6" x14ac:dyDescent="0.25">
      <c r="A2025" t="s">
        <v>98</v>
      </c>
      <c r="B2025" s="6">
        <v>45629</v>
      </c>
      <c r="C2025" t="s">
        <v>201</v>
      </c>
      <c r="D2025" t="s">
        <v>180</v>
      </c>
      <c r="E2025">
        <v>646029</v>
      </c>
      <c r="F2025">
        <v>613.86210000000005</v>
      </c>
    </row>
    <row r="2026" spans="1:6" x14ac:dyDescent="0.25">
      <c r="A2026" t="s">
        <v>98</v>
      </c>
      <c r="B2026" s="6">
        <v>45629</v>
      </c>
      <c r="C2026" t="s">
        <v>201</v>
      </c>
      <c r="D2026" t="s">
        <v>180</v>
      </c>
      <c r="E2026">
        <v>647077</v>
      </c>
      <c r="F2026">
        <v>612.86059999999998</v>
      </c>
    </row>
    <row r="2027" spans="1:6" x14ac:dyDescent="0.25">
      <c r="A2027" t="s">
        <v>98</v>
      </c>
      <c r="B2027" s="6">
        <v>45629</v>
      </c>
      <c r="C2027" t="s">
        <v>201</v>
      </c>
      <c r="D2027" t="s">
        <v>180</v>
      </c>
      <c r="E2027">
        <v>647671</v>
      </c>
      <c r="F2027">
        <v>611.55970000000002</v>
      </c>
    </row>
    <row r="2028" spans="1:6" x14ac:dyDescent="0.25">
      <c r="A2028" t="s">
        <v>98</v>
      </c>
      <c r="B2028" s="6">
        <v>45629</v>
      </c>
      <c r="C2028" t="s">
        <v>201</v>
      </c>
      <c r="D2028" t="s">
        <v>180</v>
      </c>
      <c r="E2028">
        <v>647929</v>
      </c>
      <c r="F2028">
        <v>610.72249999999997</v>
      </c>
    </row>
    <row r="2029" spans="1:6" x14ac:dyDescent="0.25">
      <c r="A2029" t="s">
        <v>98</v>
      </c>
      <c r="B2029" s="6">
        <v>45629</v>
      </c>
      <c r="C2029" t="s">
        <v>201</v>
      </c>
      <c r="D2029" t="s">
        <v>180</v>
      </c>
      <c r="E2029">
        <v>649557</v>
      </c>
      <c r="F2029">
        <v>609.58040000000005</v>
      </c>
    </row>
    <row r="2030" spans="1:6" x14ac:dyDescent="0.25">
      <c r="A2030" t="s">
        <v>98</v>
      </c>
      <c r="B2030" s="6">
        <v>45629</v>
      </c>
      <c r="C2030" t="s">
        <v>201</v>
      </c>
      <c r="D2030" t="s">
        <v>180</v>
      </c>
      <c r="E2030">
        <v>650282</v>
      </c>
      <c r="F2030">
        <v>608.48689999999999</v>
      </c>
    </row>
    <row r="2031" spans="1:6" x14ac:dyDescent="0.25">
      <c r="A2031" t="s">
        <v>98</v>
      </c>
      <c r="B2031" s="6">
        <v>45629</v>
      </c>
      <c r="C2031" t="s">
        <v>201</v>
      </c>
      <c r="D2031" t="s">
        <v>180</v>
      </c>
      <c r="E2031">
        <v>652302</v>
      </c>
      <c r="F2031">
        <v>607.36900000000003</v>
      </c>
    </row>
    <row r="2032" spans="1:6" x14ac:dyDescent="0.25">
      <c r="A2032" t="s">
        <v>98</v>
      </c>
      <c r="B2032" s="6">
        <v>45629</v>
      </c>
      <c r="C2032" t="s">
        <v>201</v>
      </c>
      <c r="D2032" t="s">
        <v>180</v>
      </c>
      <c r="E2032">
        <v>653854</v>
      </c>
      <c r="F2032">
        <v>606.25229999999999</v>
      </c>
    </row>
    <row r="2033" spans="1:6" x14ac:dyDescent="0.25">
      <c r="A2033" t="s">
        <v>98</v>
      </c>
      <c r="B2033" s="6">
        <v>45629</v>
      </c>
      <c r="C2033" t="s">
        <v>201</v>
      </c>
      <c r="D2033" t="s">
        <v>180</v>
      </c>
      <c r="E2033">
        <v>654908</v>
      </c>
      <c r="F2033">
        <v>605.2713</v>
      </c>
    </row>
    <row r="2034" spans="1:6" x14ac:dyDescent="0.25">
      <c r="A2034" t="s">
        <v>98</v>
      </c>
      <c r="B2034" s="6">
        <v>45629</v>
      </c>
      <c r="C2034" t="s">
        <v>201</v>
      </c>
      <c r="D2034" t="s">
        <v>180</v>
      </c>
      <c r="E2034">
        <v>657338</v>
      </c>
      <c r="F2034">
        <v>604.27390000000003</v>
      </c>
    </row>
    <row r="2035" spans="1:6" x14ac:dyDescent="0.25">
      <c r="A2035" t="s">
        <v>98</v>
      </c>
      <c r="B2035" s="6">
        <v>45629</v>
      </c>
      <c r="C2035" t="s">
        <v>201</v>
      </c>
      <c r="D2035" t="s">
        <v>180</v>
      </c>
      <c r="E2035">
        <v>658288</v>
      </c>
      <c r="F2035">
        <v>603.16600000000005</v>
      </c>
    </row>
    <row r="2036" spans="1:6" x14ac:dyDescent="0.25">
      <c r="A2036" t="s">
        <v>98</v>
      </c>
      <c r="B2036" s="6">
        <v>45629</v>
      </c>
      <c r="C2036" t="s">
        <v>201</v>
      </c>
      <c r="D2036" t="s">
        <v>180</v>
      </c>
      <c r="E2036">
        <v>658783</v>
      </c>
      <c r="F2036">
        <v>601.04999999999995</v>
      </c>
    </row>
    <row r="2037" spans="1:6" x14ac:dyDescent="0.25">
      <c r="A2037" t="s">
        <v>98</v>
      </c>
      <c r="B2037" s="6">
        <v>45629</v>
      </c>
      <c r="C2037" t="s">
        <v>201</v>
      </c>
      <c r="D2037" t="s">
        <v>180</v>
      </c>
      <c r="E2037">
        <v>658882</v>
      </c>
      <c r="F2037">
        <v>600.17309999999998</v>
      </c>
    </row>
    <row r="2038" spans="1:6" x14ac:dyDescent="0.25">
      <c r="A2038" t="s">
        <v>98</v>
      </c>
      <c r="B2038" s="6">
        <v>45629</v>
      </c>
      <c r="C2038" t="s">
        <v>201</v>
      </c>
      <c r="D2038" t="s">
        <v>180</v>
      </c>
      <c r="E2038">
        <v>0</v>
      </c>
      <c r="F2038">
        <v>614.01559999999995</v>
      </c>
    </row>
    <row r="2039" spans="1:6" x14ac:dyDescent="0.25">
      <c r="A2039" t="s">
        <v>98</v>
      </c>
      <c r="B2039" s="6">
        <v>45629</v>
      </c>
      <c r="C2039" t="s">
        <v>201</v>
      </c>
      <c r="D2039" t="s">
        <v>180</v>
      </c>
      <c r="E2039">
        <v>710</v>
      </c>
      <c r="F2039">
        <v>613.5471</v>
      </c>
    </row>
    <row r="2040" spans="1:6" x14ac:dyDescent="0.25">
      <c r="A2040" t="s">
        <v>98</v>
      </c>
      <c r="B2040" s="6">
        <v>45629</v>
      </c>
      <c r="C2040" t="s">
        <v>201</v>
      </c>
      <c r="D2040" t="s">
        <v>180</v>
      </c>
      <c r="E2040">
        <v>2302</v>
      </c>
      <c r="F2040">
        <v>612.55610000000001</v>
      </c>
    </row>
    <row r="2041" spans="1:6" x14ac:dyDescent="0.25">
      <c r="A2041" t="s">
        <v>98</v>
      </c>
      <c r="B2041" s="6">
        <v>45629</v>
      </c>
      <c r="C2041" t="s">
        <v>201</v>
      </c>
      <c r="D2041" t="s">
        <v>180</v>
      </c>
      <c r="E2041">
        <v>3256</v>
      </c>
      <c r="F2041">
        <v>611.16600000000005</v>
      </c>
    </row>
    <row r="2042" spans="1:6" x14ac:dyDescent="0.25">
      <c r="A2042" t="s">
        <v>98</v>
      </c>
      <c r="B2042" s="6">
        <v>45629</v>
      </c>
      <c r="C2042" t="s">
        <v>201</v>
      </c>
      <c r="D2042" t="s">
        <v>180</v>
      </c>
      <c r="E2042">
        <v>4194</v>
      </c>
      <c r="F2042">
        <v>610.54499999999996</v>
      </c>
    </row>
    <row r="2043" spans="1:6" x14ac:dyDescent="0.25">
      <c r="A2043" t="s">
        <v>98</v>
      </c>
      <c r="B2043" s="6">
        <v>45629</v>
      </c>
      <c r="C2043" t="s">
        <v>201</v>
      </c>
      <c r="D2043" t="s">
        <v>180</v>
      </c>
      <c r="E2043">
        <v>6505</v>
      </c>
      <c r="F2043">
        <v>609.32659999999998</v>
      </c>
    </row>
    <row r="2044" spans="1:6" x14ac:dyDescent="0.25">
      <c r="A2044" t="s">
        <v>98</v>
      </c>
      <c r="B2044" s="6">
        <v>45629</v>
      </c>
      <c r="C2044" t="s">
        <v>201</v>
      </c>
      <c r="D2044" t="s">
        <v>180</v>
      </c>
      <c r="E2044">
        <v>7867</v>
      </c>
      <c r="F2044">
        <v>608.36519999999996</v>
      </c>
    </row>
    <row r="2045" spans="1:6" x14ac:dyDescent="0.25">
      <c r="A2045" t="s">
        <v>98</v>
      </c>
      <c r="B2045" s="6">
        <v>45629</v>
      </c>
      <c r="C2045" t="s">
        <v>201</v>
      </c>
      <c r="D2045" t="s">
        <v>180</v>
      </c>
      <c r="E2045">
        <v>11578</v>
      </c>
      <c r="F2045">
        <v>607.2337</v>
      </c>
    </row>
    <row r="2046" spans="1:6" x14ac:dyDescent="0.25">
      <c r="A2046" t="s">
        <v>98</v>
      </c>
      <c r="B2046" s="6">
        <v>45629</v>
      </c>
      <c r="C2046" t="s">
        <v>201</v>
      </c>
      <c r="D2046" t="s">
        <v>180</v>
      </c>
      <c r="E2046">
        <v>14142</v>
      </c>
      <c r="F2046">
        <v>606.03219999999999</v>
      </c>
    </row>
    <row r="2047" spans="1:6" x14ac:dyDescent="0.25">
      <c r="A2047" t="s">
        <v>98</v>
      </c>
      <c r="B2047" s="6">
        <v>45629</v>
      </c>
      <c r="C2047" t="s">
        <v>201</v>
      </c>
      <c r="D2047" t="s">
        <v>180</v>
      </c>
      <c r="E2047">
        <v>15880</v>
      </c>
      <c r="F2047">
        <v>605.15980000000002</v>
      </c>
    </row>
    <row r="2048" spans="1:6" x14ac:dyDescent="0.25">
      <c r="A2048" t="s">
        <v>98</v>
      </c>
      <c r="B2048" s="6">
        <v>45629</v>
      </c>
      <c r="C2048" t="s">
        <v>201</v>
      </c>
      <c r="D2048" t="s">
        <v>180</v>
      </c>
      <c r="E2048">
        <v>20097</v>
      </c>
      <c r="F2048">
        <v>604.21659999999997</v>
      </c>
    </row>
    <row r="2049" spans="1:6" x14ac:dyDescent="0.25">
      <c r="A2049" t="s">
        <v>98</v>
      </c>
      <c r="B2049" s="6">
        <v>45629</v>
      </c>
      <c r="C2049" t="s">
        <v>201</v>
      </c>
      <c r="D2049" t="s">
        <v>180</v>
      </c>
      <c r="E2049">
        <v>21753</v>
      </c>
      <c r="F2049">
        <v>603.13699999999994</v>
      </c>
    </row>
    <row r="2050" spans="1:6" x14ac:dyDescent="0.25">
      <c r="A2050" t="s">
        <v>98</v>
      </c>
      <c r="B2050" s="6">
        <v>45629</v>
      </c>
      <c r="C2050" t="s">
        <v>201</v>
      </c>
      <c r="D2050" t="s">
        <v>180</v>
      </c>
      <c r="E2050">
        <v>22556</v>
      </c>
      <c r="F2050">
        <v>601.9683</v>
      </c>
    </row>
    <row r="2051" spans="1:6" x14ac:dyDescent="0.25">
      <c r="A2051" t="s">
        <v>98</v>
      </c>
      <c r="B2051" s="6">
        <v>45629</v>
      </c>
      <c r="C2051" t="s">
        <v>201</v>
      </c>
      <c r="D2051" t="s">
        <v>180</v>
      </c>
      <c r="E2051">
        <v>22826</v>
      </c>
      <c r="F2051">
        <v>600.05830000000003</v>
      </c>
    </row>
    <row r="2052" spans="1:6" x14ac:dyDescent="0.25">
      <c r="A2052" t="s">
        <v>98</v>
      </c>
      <c r="B2052" s="6">
        <v>45629</v>
      </c>
      <c r="C2052" t="s">
        <v>201</v>
      </c>
      <c r="D2052" t="s">
        <v>10</v>
      </c>
      <c r="E2052">
        <v>22946</v>
      </c>
      <c r="F2052">
        <v>0</v>
      </c>
    </row>
    <row r="2053" spans="1:6" x14ac:dyDescent="0.25">
      <c r="A2053" t="s">
        <v>98</v>
      </c>
      <c r="B2053" s="6">
        <v>45628</v>
      </c>
      <c r="C2053" t="s">
        <v>196</v>
      </c>
      <c r="D2053" t="s">
        <v>180</v>
      </c>
      <c r="E2053">
        <v>19166</v>
      </c>
      <c r="F2053">
        <v>577.49</v>
      </c>
    </row>
    <row r="2054" spans="1:6" x14ac:dyDescent="0.25">
      <c r="A2054" t="s">
        <v>98</v>
      </c>
      <c r="B2054" s="6">
        <v>45623</v>
      </c>
      <c r="C2054" t="s">
        <v>195</v>
      </c>
      <c r="D2054" t="s">
        <v>74</v>
      </c>
      <c r="E2054">
        <v>37440</v>
      </c>
      <c r="F2054">
        <v>0</v>
      </c>
    </row>
    <row r="2055" spans="1:6" x14ac:dyDescent="0.25">
      <c r="A2055" t="s">
        <v>98</v>
      </c>
      <c r="B2055" s="6">
        <v>45622</v>
      </c>
      <c r="C2055" t="s">
        <v>195</v>
      </c>
      <c r="D2055" t="s">
        <v>180</v>
      </c>
      <c r="E2055">
        <v>37790</v>
      </c>
      <c r="F2055">
        <v>565.29999999999995</v>
      </c>
    </row>
    <row r="2056" spans="1:6" x14ac:dyDescent="0.25">
      <c r="A2056" t="s">
        <v>98</v>
      </c>
      <c r="B2056" s="6">
        <v>45621</v>
      </c>
      <c r="C2056" t="s">
        <v>196</v>
      </c>
      <c r="D2056" t="s">
        <v>180</v>
      </c>
      <c r="E2056">
        <v>19579</v>
      </c>
      <c r="F2056">
        <v>562.77</v>
      </c>
    </row>
    <row r="2057" spans="1:6" x14ac:dyDescent="0.25">
      <c r="A2057" t="s">
        <v>98</v>
      </c>
      <c r="B2057" s="6">
        <v>45615</v>
      </c>
      <c r="C2057" t="s">
        <v>195</v>
      </c>
      <c r="D2057" t="s">
        <v>180</v>
      </c>
      <c r="E2057">
        <v>38695</v>
      </c>
      <c r="F2057">
        <v>552.29999999999995</v>
      </c>
    </row>
    <row r="2058" spans="1:6" x14ac:dyDescent="0.25">
      <c r="A2058" t="s">
        <v>98</v>
      </c>
      <c r="B2058" s="6">
        <v>45614</v>
      </c>
      <c r="C2058" t="s">
        <v>197</v>
      </c>
      <c r="D2058" t="s">
        <v>180</v>
      </c>
      <c r="E2058">
        <v>0</v>
      </c>
      <c r="F2058">
        <v>555.27300000000002</v>
      </c>
    </row>
    <row r="2059" spans="1:6" x14ac:dyDescent="0.25">
      <c r="A2059" t="s">
        <v>98</v>
      </c>
      <c r="B2059" s="6">
        <v>45614</v>
      </c>
      <c r="C2059" t="s">
        <v>197</v>
      </c>
      <c r="D2059" t="s">
        <v>180</v>
      </c>
      <c r="E2059">
        <v>1060</v>
      </c>
      <c r="F2059">
        <v>554.38189999999997</v>
      </c>
    </row>
    <row r="2060" spans="1:6" x14ac:dyDescent="0.25">
      <c r="A2060" t="s">
        <v>98</v>
      </c>
      <c r="B2060" s="6">
        <v>45614</v>
      </c>
      <c r="C2060" t="s">
        <v>197</v>
      </c>
      <c r="D2060" t="s">
        <v>180</v>
      </c>
      <c r="E2060">
        <v>4709</v>
      </c>
      <c r="F2060">
        <v>553.26649999999995</v>
      </c>
    </row>
    <row r="2061" spans="1:6" x14ac:dyDescent="0.25">
      <c r="A2061" t="s">
        <v>98</v>
      </c>
      <c r="B2061" s="6">
        <v>45614</v>
      </c>
      <c r="C2061" t="s">
        <v>197</v>
      </c>
      <c r="D2061" t="s">
        <v>180</v>
      </c>
      <c r="E2061">
        <v>11690</v>
      </c>
      <c r="F2061">
        <v>552.53110000000004</v>
      </c>
    </row>
    <row r="2062" spans="1:6" x14ac:dyDescent="0.25">
      <c r="A2062" t="s">
        <v>98</v>
      </c>
      <c r="B2062" s="6">
        <v>45614</v>
      </c>
      <c r="C2062" t="s">
        <v>200</v>
      </c>
      <c r="D2062" t="s">
        <v>180</v>
      </c>
      <c r="E2062">
        <v>46769</v>
      </c>
      <c r="F2062">
        <v>555.25490000000002</v>
      </c>
    </row>
    <row r="2063" spans="1:6" x14ac:dyDescent="0.25">
      <c r="A2063" t="s">
        <v>98</v>
      </c>
      <c r="B2063" s="6">
        <v>45614</v>
      </c>
      <c r="C2063" t="s">
        <v>200</v>
      </c>
      <c r="D2063" t="s">
        <v>180</v>
      </c>
      <c r="E2063">
        <v>48361</v>
      </c>
      <c r="F2063">
        <v>554.36490000000003</v>
      </c>
    </row>
    <row r="2064" spans="1:6" x14ac:dyDescent="0.25">
      <c r="A2064" t="s">
        <v>98</v>
      </c>
      <c r="B2064" s="6">
        <v>45614</v>
      </c>
      <c r="C2064" t="s">
        <v>200</v>
      </c>
      <c r="D2064" t="s">
        <v>180</v>
      </c>
      <c r="E2064">
        <v>52467</v>
      </c>
      <c r="F2064">
        <v>553.29809999999998</v>
      </c>
    </row>
    <row r="2065" spans="1:6" x14ac:dyDescent="0.25">
      <c r="A2065" t="s">
        <v>98</v>
      </c>
      <c r="B2065" s="6">
        <v>45614</v>
      </c>
      <c r="C2065" t="s">
        <v>200</v>
      </c>
      <c r="D2065" t="s">
        <v>180</v>
      </c>
      <c r="E2065">
        <v>61633</v>
      </c>
      <c r="F2065">
        <v>552.55359999999996</v>
      </c>
    </row>
    <row r="2066" spans="1:6" x14ac:dyDescent="0.25">
      <c r="A2066" t="s">
        <v>98</v>
      </c>
      <c r="B2066" s="6">
        <v>45614</v>
      </c>
      <c r="C2066" t="s">
        <v>210</v>
      </c>
      <c r="D2066" t="s">
        <v>180</v>
      </c>
      <c r="E2066">
        <v>0</v>
      </c>
      <c r="F2066">
        <v>555.55999999999995</v>
      </c>
    </row>
    <row r="2067" spans="1:6" x14ac:dyDescent="0.25">
      <c r="A2067" t="s">
        <v>98</v>
      </c>
      <c r="B2067" s="6">
        <v>45614</v>
      </c>
      <c r="C2067" t="s">
        <v>210</v>
      </c>
      <c r="D2067" t="s">
        <v>180</v>
      </c>
      <c r="E2067">
        <v>200</v>
      </c>
      <c r="F2067">
        <v>554.52869999999996</v>
      </c>
    </row>
    <row r="2068" spans="1:6" x14ac:dyDescent="0.25">
      <c r="A2068" t="s">
        <v>98</v>
      </c>
      <c r="B2068" s="6">
        <v>45614</v>
      </c>
      <c r="C2068" t="s">
        <v>210</v>
      </c>
      <c r="D2068" t="s">
        <v>180</v>
      </c>
      <c r="E2068">
        <v>2035</v>
      </c>
      <c r="F2068">
        <v>553.35180000000003</v>
      </c>
    </row>
    <row r="2069" spans="1:6" x14ac:dyDescent="0.25">
      <c r="A2069" t="s">
        <v>98</v>
      </c>
      <c r="B2069" s="6">
        <v>45614</v>
      </c>
      <c r="C2069" t="s">
        <v>210</v>
      </c>
      <c r="D2069" t="s">
        <v>180</v>
      </c>
      <c r="E2069">
        <v>5296</v>
      </c>
      <c r="F2069">
        <v>552.52499999999998</v>
      </c>
    </row>
    <row r="2070" spans="1:6" x14ac:dyDescent="0.25">
      <c r="A2070" t="s">
        <v>98</v>
      </c>
      <c r="B2070" s="6">
        <v>45614</v>
      </c>
      <c r="C2070" t="s">
        <v>199</v>
      </c>
      <c r="D2070" t="s">
        <v>180</v>
      </c>
      <c r="E2070">
        <v>3414</v>
      </c>
      <c r="F2070">
        <v>557</v>
      </c>
    </row>
    <row r="2071" spans="1:6" x14ac:dyDescent="0.25">
      <c r="A2071" t="s">
        <v>98</v>
      </c>
      <c r="B2071" s="6">
        <v>45614</v>
      </c>
      <c r="C2071" t="s">
        <v>196</v>
      </c>
      <c r="D2071" t="s">
        <v>180</v>
      </c>
      <c r="E2071">
        <v>19992</v>
      </c>
      <c r="F2071">
        <v>557</v>
      </c>
    </row>
    <row r="2072" spans="1:6" x14ac:dyDescent="0.25">
      <c r="A2072" t="s">
        <v>98</v>
      </c>
      <c r="B2072" s="6">
        <v>45611</v>
      </c>
      <c r="C2072" t="s">
        <v>197</v>
      </c>
      <c r="D2072" t="s">
        <v>22</v>
      </c>
      <c r="E2072">
        <v>61119</v>
      </c>
      <c r="F2072">
        <v>0</v>
      </c>
    </row>
    <row r="2073" spans="1:6" x14ac:dyDescent="0.25">
      <c r="A2073" t="s">
        <v>98</v>
      </c>
      <c r="B2073" s="6">
        <v>45611</v>
      </c>
      <c r="C2073" t="s">
        <v>197</v>
      </c>
      <c r="D2073" t="s">
        <v>22</v>
      </c>
      <c r="E2073">
        <v>27352</v>
      </c>
      <c r="F2073">
        <v>0</v>
      </c>
    </row>
    <row r="2074" spans="1:6" x14ac:dyDescent="0.25">
      <c r="A2074" t="s">
        <v>98</v>
      </c>
      <c r="B2074" s="6">
        <v>45611</v>
      </c>
      <c r="C2074" t="s">
        <v>197</v>
      </c>
      <c r="D2074" t="s">
        <v>10</v>
      </c>
      <c r="E2074">
        <v>18882</v>
      </c>
      <c r="F2074">
        <v>0</v>
      </c>
    </row>
    <row r="2075" spans="1:6" x14ac:dyDescent="0.25">
      <c r="A2075" t="s">
        <v>98</v>
      </c>
      <c r="B2075" s="6">
        <v>45611</v>
      </c>
      <c r="C2075" t="s">
        <v>197</v>
      </c>
      <c r="D2075" t="s">
        <v>10</v>
      </c>
      <c r="E2075">
        <v>21914</v>
      </c>
      <c r="F2075">
        <v>0</v>
      </c>
    </row>
    <row r="2076" spans="1:6" x14ac:dyDescent="0.25">
      <c r="A2076" t="s">
        <v>98</v>
      </c>
      <c r="B2076" s="6">
        <v>45611</v>
      </c>
      <c r="C2076" t="s">
        <v>197</v>
      </c>
      <c r="D2076" t="s">
        <v>73</v>
      </c>
      <c r="E2076">
        <v>14746</v>
      </c>
      <c r="F2076">
        <v>577.16</v>
      </c>
    </row>
    <row r="2077" spans="1:6" x14ac:dyDescent="0.25">
      <c r="A2077" t="s">
        <v>98</v>
      </c>
      <c r="B2077" s="6">
        <v>45611</v>
      </c>
      <c r="C2077" t="s">
        <v>197</v>
      </c>
      <c r="D2077" t="s">
        <v>22</v>
      </c>
      <c r="E2077">
        <v>20826</v>
      </c>
      <c r="F2077">
        <v>0</v>
      </c>
    </row>
    <row r="2078" spans="1:6" x14ac:dyDescent="0.25">
      <c r="A2078" t="s">
        <v>98</v>
      </c>
      <c r="B2078" s="6">
        <v>45611</v>
      </c>
      <c r="C2078" t="s">
        <v>197</v>
      </c>
      <c r="D2078" t="s">
        <v>22</v>
      </c>
      <c r="E2078">
        <v>14035</v>
      </c>
      <c r="F2078">
        <v>0</v>
      </c>
    </row>
    <row r="2079" spans="1:6" x14ac:dyDescent="0.25">
      <c r="A2079" t="s">
        <v>98</v>
      </c>
      <c r="B2079" s="6">
        <v>45611</v>
      </c>
      <c r="C2079" t="s">
        <v>197</v>
      </c>
      <c r="D2079" t="s">
        <v>180</v>
      </c>
      <c r="E2079">
        <v>8565</v>
      </c>
      <c r="F2079">
        <v>577.16</v>
      </c>
    </row>
    <row r="2080" spans="1:6" x14ac:dyDescent="0.25">
      <c r="A2080" t="s">
        <v>98</v>
      </c>
      <c r="B2080" s="6">
        <v>45611</v>
      </c>
      <c r="C2080" t="s">
        <v>197</v>
      </c>
      <c r="D2080" t="s">
        <v>10</v>
      </c>
      <c r="E2080">
        <v>13622</v>
      </c>
      <c r="F2080">
        <v>0</v>
      </c>
    </row>
    <row r="2081" spans="1:6" x14ac:dyDescent="0.25">
      <c r="A2081" t="s">
        <v>98</v>
      </c>
      <c r="B2081" s="6">
        <v>45611</v>
      </c>
      <c r="C2081" t="s">
        <v>197</v>
      </c>
      <c r="D2081" t="s">
        <v>10</v>
      </c>
      <c r="E2081">
        <v>8902</v>
      </c>
      <c r="F2081">
        <v>0</v>
      </c>
    </row>
    <row r="2082" spans="1:6" x14ac:dyDescent="0.25">
      <c r="A2082" t="s">
        <v>98</v>
      </c>
      <c r="B2082" s="6">
        <v>45611</v>
      </c>
      <c r="C2082" t="s">
        <v>200</v>
      </c>
      <c r="D2082" t="s">
        <v>22</v>
      </c>
      <c r="E2082">
        <v>34832</v>
      </c>
      <c r="F2082">
        <v>0</v>
      </c>
    </row>
    <row r="2083" spans="1:6" x14ac:dyDescent="0.25">
      <c r="A2083" t="s">
        <v>98</v>
      </c>
      <c r="B2083" s="6">
        <v>45611</v>
      </c>
      <c r="C2083" t="s">
        <v>200</v>
      </c>
      <c r="D2083" t="s">
        <v>22</v>
      </c>
      <c r="E2083">
        <v>61119</v>
      </c>
      <c r="F2083">
        <v>0</v>
      </c>
    </row>
    <row r="2084" spans="1:6" x14ac:dyDescent="0.25">
      <c r="A2084" t="s">
        <v>98</v>
      </c>
      <c r="B2084" s="6">
        <v>45611</v>
      </c>
      <c r="C2084" t="s">
        <v>200</v>
      </c>
      <c r="D2084" t="s">
        <v>10</v>
      </c>
      <c r="E2084">
        <v>27352</v>
      </c>
      <c r="F2084">
        <v>0</v>
      </c>
    </row>
    <row r="2085" spans="1:6" x14ac:dyDescent="0.25">
      <c r="A2085" t="s">
        <v>98</v>
      </c>
      <c r="B2085" s="6">
        <v>45611</v>
      </c>
      <c r="C2085" t="s">
        <v>200</v>
      </c>
      <c r="D2085" t="s">
        <v>10</v>
      </c>
      <c r="E2085">
        <v>3005</v>
      </c>
      <c r="F2085">
        <v>0</v>
      </c>
    </row>
    <row r="2086" spans="1:6" x14ac:dyDescent="0.25">
      <c r="A2086" t="s">
        <v>98</v>
      </c>
      <c r="B2086" s="6">
        <v>45611</v>
      </c>
      <c r="C2086" t="s">
        <v>200</v>
      </c>
      <c r="D2086" t="s">
        <v>22</v>
      </c>
      <c r="E2086">
        <v>34832</v>
      </c>
      <c r="F2086">
        <v>0</v>
      </c>
    </row>
    <row r="2087" spans="1:6" x14ac:dyDescent="0.25">
      <c r="A2087" t="s">
        <v>98</v>
      </c>
      <c r="B2087" s="6">
        <v>45611</v>
      </c>
      <c r="C2087" t="s">
        <v>200</v>
      </c>
      <c r="D2087" t="s">
        <v>22</v>
      </c>
      <c r="E2087">
        <v>61119</v>
      </c>
      <c r="F2087">
        <v>0</v>
      </c>
    </row>
    <row r="2088" spans="1:6" x14ac:dyDescent="0.25">
      <c r="A2088" t="s">
        <v>98</v>
      </c>
      <c r="B2088" s="6">
        <v>45611</v>
      </c>
      <c r="C2088" t="s">
        <v>200</v>
      </c>
      <c r="D2088" t="s">
        <v>10</v>
      </c>
      <c r="E2088">
        <v>20514</v>
      </c>
      <c r="F2088">
        <v>0</v>
      </c>
    </row>
    <row r="2089" spans="1:6" x14ac:dyDescent="0.25">
      <c r="A2089" t="s">
        <v>98</v>
      </c>
      <c r="B2089" s="6">
        <v>45611</v>
      </c>
      <c r="C2089" t="s">
        <v>200</v>
      </c>
      <c r="D2089" t="s">
        <v>10</v>
      </c>
      <c r="E2089">
        <v>1181</v>
      </c>
      <c r="F2089">
        <v>0</v>
      </c>
    </row>
    <row r="2090" spans="1:6" x14ac:dyDescent="0.25">
      <c r="A2090" t="s">
        <v>98</v>
      </c>
      <c r="B2090" s="6">
        <v>45611</v>
      </c>
      <c r="C2090" t="s">
        <v>200</v>
      </c>
      <c r="D2090" t="s">
        <v>10</v>
      </c>
      <c r="E2090">
        <v>30211</v>
      </c>
      <c r="F2090">
        <v>0</v>
      </c>
    </row>
    <row r="2091" spans="1:6" x14ac:dyDescent="0.25">
      <c r="A2091" t="s">
        <v>98</v>
      </c>
      <c r="B2091" s="6">
        <v>45611</v>
      </c>
      <c r="C2091" t="s">
        <v>200</v>
      </c>
      <c r="D2091" t="s">
        <v>10</v>
      </c>
      <c r="E2091">
        <v>28793</v>
      </c>
      <c r="F2091">
        <v>0</v>
      </c>
    </row>
    <row r="2092" spans="1:6" x14ac:dyDescent="0.25">
      <c r="A2092" t="s">
        <v>98</v>
      </c>
      <c r="B2092" s="6">
        <v>45611</v>
      </c>
      <c r="C2092" t="s">
        <v>200</v>
      </c>
      <c r="D2092" t="s">
        <v>73</v>
      </c>
      <c r="E2092">
        <v>65413</v>
      </c>
      <c r="F2092">
        <v>577.16</v>
      </c>
    </row>
    <row r="2093" spans="1:6" x14ac:dyDescent="0.25">
      <c r="A2093" t="s">
        <v>98</v>
      </c>
      <c r="B2093" s="6">
        <v>45611</v>
      </c>
      <c r="C2093" t="s">
        <v>200</v>
      </c>
      <c r="D2093" t="s">
        <v>22</v>
      </c>
      <c r="E2093">
        <v>70109</v>
      </c>
      <c r="F2093">
        <v>0</v>
      </c>
    </row>
    <row r="2094" spans="1:6" x14ac:dyDescent="0.25">
      <c r="A2094" t="s">
        <v>98</v>
      </c>
      <c r="B2094" s="6">
        <v>45611</v>
      </c>
      <c r="C2094" t="s">
        <v>200</v>
      </c>
      <c r="D2094" t="s">
        <v>22</v>
      </c>
      <c r="E2094">
        <v>67429</v>
      </c>
      <c r="F2094">
        <v>0</v>
      </c>
    </row>
    <row r="2095" spans="1:6" x14ac:dyDescent="0.25">
      <c r="A2095" t="s">
        <v>98</v>
      </c>
      <c r="B2095" s="6">
        <v>45611</v>
      </c>
      <c r="C2095" t="s">
        <v>200</v>
      </c>
      <c r="D2095" t="s">
        <v>180</v>
      </c>
      <c r="E2095">
        <v>60638</v>
      </c>
      <c r="F2095">
        <v>577.16</v>
      </c>
    </row>
    <row r="2096" spans="1:6" x14ac:dyDescent="0.25">
      <c r="A2096" t="s">
        <v>98</v>
      </c>
      <c r="B2096" s="6">
        <v>45611</v>
      </c>
      <c r="C2096" t="s">
        <v>200</v>
      </c>
      <c r="D2096" t="s">
        <v>10</v>
      </c>
      <c r="E2096">
        <v>64841</v>
      </c>
      <c r="F2096">
        <v>0</v>
      </c>
    </row>
    <row r="2097" spans="1:6" x14ac:dyDescent="0.25">
      <c r="A2097" t="s">
        <v>98</v>
      </c>
      <c r="B2097" s="6">
        <v>45611</v>
      </c>
      <c r="C2097" t="s">
        <v>200</v>
      </c>
      <c r="D2097" t="s">
        <v>10</v>
      </c>
      <c r="E2097">
        <v>59371</v>
      </c>
      <c r="F2097">
        <v>0</v>
      </c>
    </row>
    <row r="2098" spans="1:6" x14ac:dyDescent="0.25">
      <c r="A2098" t="s">
        <v>98</v>
      </c>
      <c r="B2098" s="6">
        <v>45611</v>
      </c>
      <c r="C2098" t="s">
        <v>200</v>
      </c>
      <c r="D2098" t="s">
        <v>73</v>
      </c>
      <c r="E2098">
        <v>56366</v>
      </c>
      <c r="F2098">
        <v>577.16</v>
      </c>
    </row>
    <row r="2099" spans="1:6" x14ac:dyDescent="0.25">
      <c r="A2099" t="s">
        <v>98</v>
      </c>
      <c r="B2099" s="6">
        <v>45611</v>
      </c>
      <c r="C2099" t="s">
        <v>200</v>
      </c>
      <c r="D2099" t="s">
        <v>22</v>
      </c>
      <c r="E2099">
        <v>61062</v>
      </c>
      <c r="F2099">
        <v>0</v>
      </c>
    </row>
    <row r="2100" spans="1:6" x14ac:dyDescent="0.25">
      <c r="A2100" t="s">
        <v>98</v>
      </c>
      <c r="B2100" s="6">
        <v>45611</v>
      </c>
      <c r="C2100" t="s">
        <v>200</v>
      </c>
      <c r="D2100" t="s">
        <v>22</v>
      </c>
      <c r="E2100">
        <v>58382</v>
      </c>
      <c r="F2100">
        <v>0</v>
      </c>
    </row>
    <row r="2101" spans="1:6" x14ac:dyDescent="0.25">
      <c r="A2101" t="s">
        <v>98</v>
      </c>
      <c r="B2101" s="6">
        <v>45611</v>
      </c>
      <c r="C2101" t="s">
        <v>200</v>
      </c>
      <c r="D2101" t="s">
        <v>180</v>
      </c>
      <c r="E2101">
        <v>51591</v>
      </c>
      <c r="F2101">
        <v>577.16</v>
      </c>
    </row>
    <row r="2102" spans="1:6" x14ac:dyDescent="0.25">
      <c r="A2102" t="s">
        <v>98</v>
      </c>
      <c r="B2102" s="6">
        <v>45611</v>
      </c>
      <c r="C2102" t="s">
        <v>200</v>
      </c>
      <c r="D2102" t="s">
        <v>10</v>
      </c>
      <c r="E2102">
        <v>56339</v>
      </c>
      <c r="F2102">
        <v>0</v>
      </c>
    </row>
    <row r="2103" spans="1:6" x14ac:dyDescent="0.25">
      <c r="A2103" t="s">
        <v>98</v>
      </c>
      <c r="B2103" s="6">
        <v>45611</v>
      </c>
      <c r="C2103" t="s">
        <v>200</v>
      </c>
      <c r="D2103" t="s">
        <v>10</v>
      </c>
      <c r="E2103">
        <v>52236</v>
      </c>
      <c r="F2103">
        <v>0</v>
      </c>
    </row>
    <row r="2104" spans="1:6" x14ac:dyDescent="0.25">
      <c r="A2104" t="s">
        <v>98</v>
      </c>
      <c r="B2104" s="6">
        <v>45611</v>
      </c>
      <c r="C2104" t="s">
        <v>200</v>
      </c>
      <c r="D2104" t="s">
        <v>10</v>
      </c>
      <c r="E2104">
        <v>51056</v>
      </c>
      <c r="F2104">
        <v>0</v>
      </c>
    </row>
    <row r="2105" spans="1:6" x14ac:dyDescent="0.25">
      <c r="A2105" t="s">
        <v>98</v>
      </c>
      <c r="B2105" s="6">
        <v>45611</v>
      </c>
      <c r="C2105" t="s">
        <v>200</v>
      </c>
      <c r="D2105" t="s">
        <v>10</v>
      </c>
      <c r="E2105">
        <v>49168</v>
      </c>
      <c r="F2105">
        <v>0</v>
      </c>
    </row>
    <row r="2106" spans="1:6" x14ac:dyDescent="0.25">
      <c r="A2106" t="s">
        <v>98</v>
      </c>
      <c r="B2106" s="6">
        <v>45611</v>
      </c>
      <c r="C2106" t="s">
        <v>210</v>
      </c>
      <c r="D2106" t="s">
        <v>22</v>
      </c>
      <c r="E2106">
        <v>29608</v>
      </c>
      <c r="F2106">
        <v>0</v>
      </c>
    </row>
    <row r="2107" spans="1:6" x14ac:dyDescent="0.25">
      <c r="A2107" t="s">
        <v>98</v>
      </c>
      <c r="B2107" s="6">
        <v>45611</v>
      </c>
      <c r="C2107" t="s">
        <v>210</v>
      </c>
      <c r="D2107" t="s">
        <v>22</v>
      </c>
      <c r="E2107">
        <v>45839</v>
      </c>
      <c r="F2107">
        <v>0</v>
      </c>
    </row>
    <row r="2108" spans="1:6" x14ac:dyDescent="0.25">
      <c r="A2108" t="s">
        <v>98</v>
      </c>
      <c r="B2108" s="6">
        <v>45611</v>
      </c>
      <c r="C2108" t="s">
        <v>210</v>
      </c>
      <c r="D2108" t="s">
        <v>22</v>
      </c>
      <c r="E2108">
        <v>20514</v>
      </c>
      <c r="F2108">
        <v>0</v>
      </c>
    </row>
    <row r="2109" spans="1:6" x14ac:dyDescent="0.25">
      <c r="A2109" t="s">
        <v>98</v>
      </c>
      <c r="B2109" s="6">
        <v>45611</v>
      </c>
      <c r="C2109" t="s">
        <v>210</v>
      </c>
      <c r="D2109" t="s">
        <v>10</v>
      </c>
      <c r="E2109">
        <v>2361</v>
      </c>
      <c r="F2109">
        <v>0</v>
      </c>
    </row>
    <row r="2110" spans="1:6" x14ac:dyDescent="0.25">
      <c r="A2110" t="s">
        <v>98</v>
      </c>
      <c r="B2110" s="6">
        <v>45611</v>
      </c>
      <c r="C2110" t="s">
        <v>210</v>
      </c>
      <c r="D2110" t="s">
        <v>73</v>
      </c>
      <c r="E2110">
        <v>7296</v>
      </c>
      <c r="F2110">
        <v>577.16</v>
      </c>
    </row>
    <row r="2111" spans="1:6" x14ac:dyDescent="0.25">
      <c r="A2111" t="s">
        <v>98</v>
      </c>
      <c r="B2111" s="6">
        <v>45611</v>
      </c>
      <c r="C2111" t="s">
        <v>210</v>
      </c>
      <c r="D2111" t="s">
        <v>22</v>
      </c>
      <c r="E2111">
        <v>12702</v>
      </c>
      <c r="F2111">
        <v>0</v>
      </c>
    </row>
    <row r="2112" spans="1:6" x14ac:dyDescent="0.25">
      <c r="A2112" t="s">
        <v>98</v>
      </c>
      <c r="B2112" s="6">
        <v>45611</v>
      </c>
      <c r="C2112" t="s">
        <v>210</v>
      </c>
      <c r="D2112" t="s">
        <v>22</v>
      </c>
      <c r="E2112">
        <v>10425</v>
      </c>
      <c r="F2112">
        <v>0</v>
      </c>
    </row>
    <row r="2113" spans="1:6" x14ac:dyDescent="0.25">
      <c r="A2113" t="s">
        <v>98</v>
      </c>
      <c r="B2113" s="6">
        <v>45611</v>
      </c>
      <c r="C2113" t="s">
        <v>210</v>
      </c>
      <c r="D2113" t="s">
        <v>22</v>
      </c>
      <c r="E2113">
        <v>5332</v>
      </c>
      <c r="F2113">
        <v>0</v>
      </c>
    </row>
    <row r="2114" spans="1:6" x14ac:dyDescent="0.25">
      <c r="A2114" t="s">
        <v>98</v>
      </c>
      <c r="B2114" s="6">
        <v>45611</v>
      </c>
      <c r="C2114" t="s">
        <v>210</v>
      </c>
      <c r="D2114" t="s">
        <v>180</v>
      </c>
      <c r="E2114">
        <v>1229</v>
      </c>
      <c r="F2114">
        <v>577.16</v>
      </c>
    </row>
    <row r="2115" spans="1:6" x14ac:dyDescent="0.25">
      <c r="A2115" t="s">
        <v>98</v>
      </c>
      <c r="B2115" s="6">
        <v>45611</v>
      </c>
      <c r="C2115" t="s">
        <v>210</v>
      </c>
      <c r="D2115" t="s">
        <v>10</v>
      </c>
      <c r="E2115">
        <v>2360</v>
      </c>
      <c r="F2115">
        <v>0</v>
      </c>
    </row>
    <row r="2116" spans="1:6" x14ac:dyDescent="0.25">
      <c r="A2116" t="s">
        <v>98</v>
      </c>
      <c r="B2116" s="6">
        <v>45611</v>
      </c>
      <c r="C2116" t="s">
        <v>199</v>
      </c>
      <c r="D2116" t="s">
        <v>22</v>
      </c>
      <c r="E2116">
        <v>4325</v>
      </c>
      <c r="F2116">
        <v>0</v>
      </c>
    </row>
    <row r="2117" spans="1:6" x14ac:dyDescent="0.25">
      <c r="A2117" t="s">
        <v>98</v>
      </c>
      <c r="B2117" s="6">
        <v>45611</v>
      </c>
      <c r="C2117" t="s">
        <v>199</v>
      </c>
      <c r="D2117" t="s">
        <v>22</v>
      </c>
      <c r="E2117">
        <v>14503</v>
      </c>
      <c r="F2117">
        <v>0</v>
      </c>
    </row>
    <row r="2118" spans="1:6" x14ac:dyDescent="0.25">
      <c r="A2118" t="s">
        <v>98</v>
      </c>
      <c r="B2118" s="6">
        <v>45611</v>
      </c>
      <c r="C2118" t="s">
        <v>199</v>
      </c>
      <c r="D2118" t="s">
        <v>73</v>
      </c>
      <c r="E2118">
        <v>4145</v>
      </c>
      <c r="F2118">
        <v>577.16</v>
      </c>
    </row>
    <row r="2119" spans="1:6" x14ac:dyDescent="0.25">
      <c r="A2119" t="s">
        <v>98</v>
      </c>
      <c r="B2119" s="6">
        <v>45611</v>
      </c>
      <c r="C2119" t="s">
        <v>199</v>
      </c>
      <c r="D2119" t="s">
        <v>22</v>
      </c>
      <c r="E2119">
        <v>5030</v>
      </c>
      <c r="F2119">
        <v>0</v>
      </c>
    </row>
    <row r="2120" spans="1:6" x14ac:dyDescent="0.25">
      <c r="A2120" t="s">
        <v>98</v>
      </c>
      <c r="B2120" s="6">
        <v>45611</v>
      </c>
      <c r="C2120" t="s">
        <v>199</v>
      </c>
      <c r="D2120" t="s">
        <v>22</v>
      </c>
      <c r="E2120">
        <v>4697</v>
      </c>
      <c r="F2120">
        <v>0</v>
      </c>
    </row>
    <row r="2121" spans="1:6" x14ac:dyDescent="0.25">
      <c r="A2121" t="s">
        <v>98</v>
      </c>
      <c r="B2121" s="6">
        <v>45611</v>
      </c>
      <c r="C2121" t="s">
        <v>196</v>
      </c>
      <c r="D2121" t="s">
        <v>22</v>
      </c>
      <c r="E2121">
        <v>34832</v>
      </c>
      <c r="F2121">
        <v>0</v>
      </c>
    </row>
    <row r="2122" spans="1:6" x14ac:dyDescent="0.25">
      <c r="A2122" t="s">
        <v>98</v>
      </c>
      <c r="B2122" s="6">
        <v>45611</v>
      </c>
      <c r="C2122" t="s">
        <v>196</v>
      </c>
      <c r="D2122" t="s">
        <v>22</v>
      </c>
      <c r="E2122">
        <v>61119</v>
      </c>
      <c r="F2122">
        <v>0</v>
      </c>
    </row>
    <row r="2123" spans="1:6" x14ac:dyDescent="0.25">
      <c r="A2123" t="s">
        <v>98</v>
      </c>
      <c r="B2123" s="6">
        <v>45611</v>
      </c>
      <c r="C2123" t="s">
        <v>196</v>
      </c>
      <c r="D2123" t="s">
        <v>10</v>
      </c>
      <c r="E2123">
        <v>27352</v>
      </c>
      <c r="F2123">
        <v>0</v>
      </c>
    </row>
    <row r="2124" spans="1:6" x14ac:dyDescent="0.25">
      <c r="A2124" t="s">
        <v>98</v>
      </c>
      <c r="B2124" s="6">
        <v>45611</v>
      </c>
      <c r="C2124" t="s">
        <v>196</v>
      </c>
      <c r="D2124" t="s">
        <v>10</v>
      </c>
      <c r="E2124">
        <v>4721</v>
      </c>
      <c r="F2124">
        <v>0</v>
      </c>
    </row>
    <row r="2125" spans="1:6" x14ac:dyDescent="0.25">
      <c r="A2125" t="s">
        <v>98</v>
      </c>
      <c r="B2125" s="6">
        <v>45611</v>
      </c>
      <c r="C2125" t="s">
        <v>196</v>
      </c>
      <c r="D2125" t="s">
        <v>73</v>
      </c>
      <c r="E2125">
        <v>20612</v>
      </c>
      <c r="F2125">
        <v>577.16</v>
      </c>
    </row>
    <row r="2126" spans="1:6" x14ac:dyDescent="0.25">
      <c r="A2126" t="s">
        <v>98</v>
      </c>
      <c r="B2126" s="6">
        <v>45611</v>
      </c>
      <c r="C2126" t="s">
        <v>196</v>
      </c>
      <c r="D2126" t="s">
        <v>22</v>
      </c>
      <c r="E2126">
        <v>25064</v>
      </c>
      <c r="F2126">
        <v>0</v>
      </c>
    </row>
    <row r="2127" spans="1:6" x14ac:dyDescent="0.25">
      <c r="A2127" t="s">
        <v>98</v>
      </c>
      <c r="B2127" s="6">
        <v>45611</v>
      </c>
      <c r="C2127" t="s">
        <v>196</v>
      </c>
      <c r="D2127" t="s">
        <v>22</v>
      </c>
      <c r="E2127">
        <v>22384</v>
      </c>
      <c r="F2127">
        <v>0</v>
      </c>
    </row>
    <row r="2128" spans="1:6" x14ac:dyDescent="0.25">
      <c r="A2128" t="s">
        <v>98</v>
      </c>
      <c r="B2128" s="6">
        <v>45611</v>
      </c>
      <c r="C2128" t="s">
        <v>196</v>
      </c>
      <c r="D2128" t="s">
        <v>180</v>
      </c>
      <c r="E2128">
        <v>15593</v>
      </c>
      <c r="F2128">
        <v>577.16</v>
      </c>
    </row>
    <row r="2129" spans="1:6" x14ac:dyDescent="0.25">
      <c r="A2129" t="s">
        <v>98</v>
      </c>
      <c r="B2129" s="6">
        <v>45611</v>
      </c>
      <c r="C2129" t="s">
        <v>196</v>
      </c>
      <c r="D2129" t="s">
        <v>10</v>
      </c>
      <c r="E2129">
        <v>20484</v>
      </c>
      <c r="F2129">
        <v>0</v>
      </c>
    </row>
    <row r="2130" spans="1:6" x14ac:dyDescent="0.25">
      <c r="A2130" t="s">
        <v>98</v>
      </c>
      <c r="B2130" s="6">
        <v>45611</v>
      </c>
      <c r="C2130" t="s">
        <v>196</v>
      </c>
      <c r="D2130" t="s">
        <v>10</v>
      </c>
      <c r="E2130">
        <v>15014</v>
      </c>
      <c r="F2130">
        <v>0</v>
      </c>
    </row>
    <row r="2131" spans="1:6" x14ac:dyDescent="0.25">
      <c r="A2131" t="s">
        <v>98</v>
      </c>
      <c r="B2131" s="6">
        <v>45611</v>
      </c>
      <c r="C2131" t="s">
        <v>198</v>
      </c>
      <c r="D2131" t="s">
        <v>22</v>
      </c>
      <c r="E2131">
        <v>34832</v>
      </c>
      <c r="F2131">
        <v>0</v>
      </c>
    </row>
    <row r="2132" spans="1:6" x14ac:dyDescent="0.25">
      <c r="A2132" t="s">
        <v>98</v>
      </c>
      <c r="B2132" s="6">
        <v>45611</v>
      </c>
      <c r="C2132" t="s">
        <v>198</v>
      </c>
      <c r="D2132" t="s">
        <v>22</v>
      </c>
      <c r="E2132">
        <v>61119</v>
      </c>
      <c r="F2132">
        <v>0</v>
      </c>
    </row>
    <row r="2133" spans="1:6" x14ac:dyDescent="0.25">
      <c r="A2133" t="s">
        <v>98</v>
      </c>
      <c r="B2133" s="6">
        <v>45611</v>
      </c>
      <c r="C2133" t="s">
        <v>198</v>
      </c>
      <c r="D2133" t="s">
        <v>22</v>
      </c>
      <c r="E2133">
        <v>27352</v>
      </c>
      <c r="F2133">
        <v>0</v>
      </c>
    </row>
    <row r="2134" spans="1:6" x14ac:dyDescent="0.25">
      <c r="A2134" t="s">
        <v>98</v>
      </c>
      <c r="B2134" s="6">
        <v>45611</v>
      </c>
      <c r="C2134" t="s">
        <v>198</v>
      </c>
      <c r="D2134" t="s">
        <v>22</v>
      </c>
      <c r="E2134">
        <v>4721</v>
      </c>
      <c r="F2134">
        <v>0</v>
      </c>
    </row>
    <row r="2135" spans="1:6" x14ac:dyDescent="0.25">
      <c r="A2135" t="s">
        <v>98</v>
      </c>
      <c r="B2135" s="6">
        <v>45611</v>
      </c>
      <c r="C2135" t="s">
        <v>198</v>
      </c>
      <c r="D2135" t="s">
        <v>73</v>
      </c>
      <c r="E2135">
        <v>338573</v>
      </c>
      <c r="F2135">
        <v>577.16</v>
      </c>
    </row>
    <row r="2136" spans="1:6" x14ac:dyDescent="0.25">
      <c r="A2136" t="s">
        <v>98</v>
      </c>
      <c r="B2136" s="6">
        <v>45611</v>
      </c>
      <c r="C2136" t="s">
        <v>198</v>
      </c>
      <c r="D2136" t="s">
        <v>22</v>
      </c>
      <c r="E2136">
        <v>348323</v>
      </c>
      <c r="F2136">
        <v>0</v>
      </c>
    </row>
    <row r="2137" spans="1:6" x14ac:dyDescent="0.25">
      <c r="A2137" t="s">
        <v>98</v>
      </c>
      <c r="B2137" s="6">
        <v>45611</v>
      </c>
      <c r="C2137" t="s">
        <v>198</v>
      </c>
      <c r="D2137" t="s">
        <v>22</v>
      </c>
      <c r="E2137">
        <v>345643</v>
      </c>
      <c r="F2137">
        <v>0</v>
      </c>
    </row>
    <row r="2138" spans="1:6" x14ac:dyDescent="0.25">
      <c r="A2138" t="s">
        <v>98</v>
      </c>
      <c r="B2138" s="6">
        <v>45611</v>
      </c>
      <c r="C2138" t="s">
        <v>198</v>
      </c>
      <c r="D2138" t="s">
        <v>22</v>
      </c>
      <c r="E2138">
        <v>338852</v>
      </c>
      <c r="F2138">
        <v>0</v>
      </c>
    </row>
    <row r="2139" spans="1:6" x14ac:dyDescent="0.25">
      <c r="A2139" t="s">
        <v>98</v>
      </c>
      <c r="B2139" s="6">
        <v>45611</v>
      </c>
      <c r="C2139" t="s">
        <v>198</v>
      </c>
      <c r="D2139" t="s">
        <v>22</v>
      </c>
      <c r="E2139">
        <v>333382</v>
      </c>
      <c r="F2139">
        <v>0</v>
      </c>
    </row>
    <row r="2140" spans="1:6" x14ac:dyDescent="0.25">
      <c r="A2140" t="s">
        <v>98</v>
      </c>
      <c r="B2140" s="6">
        <v>45611</v>
      </c>
      <c r="C2140" t="s">
        <v>195</v>
      </c>
      <c r="D2140" t="s">
        <v>22</v>
      </c>
      <c r="E2140">
        <v>34832</v>
      </c>
      <c r="F2140">
        <v>0</v>
      </c>
    </row>
    <row r="2141" spans="1:6" x14ac:dyDescent="0.25">
      <c r="A2141" t="s">
        <v>98</v>
      </c>
      <c r="B2141" s="6">
        <v>45611</v>
      </c>
      <c r="C2141" t="s">
        <v>195</v>
      </c>
      <c r="D2141" t="s">
        <v>22</v>
      </c>
      <c r="E2141">
        <v>61119</v>
      </c>
      <c r="F2141">
        <v>0</v>
      </c>
    </row>
    <row r="2142" spans="1:6" x14ac:dyDescent="0.25">
      <c r="A2142" t="s">
        <v>98</v>
      </c>
      <c r="B2142" s="6">
        <v>45611</v>
      </c>
      <c r="C2142" t="s">
        <v>195</v>
      </c>
      <c r="D2142" t="s">
        <v>22</v>
      </c>
      <c r="E2142">
        <v>27352</v>
      </c>
      <c r="F2142">
        <v>0</v>
      </c>
    </row>
    <row r="2143" spans="1:6" x14ac:dyDescent="0.25">
      <c r="A2143" t="s">
        <v>98</v>
      </c>
      <c r="B2143" s="6">
        <v>45611</v>
      </c>
      <c r="C2143" t="s">
        <v>195</v>
      </c>
      <c r="D2143" t="s">
        <v>22</v>
      </c>
      <c r="E2143">
        <v>2951</v>
      </c>
      <c r="F2143">
        <v>0</v>
      </c>
    </row>
    <row r="2144" spans="1:6" x14ac:dyDescent="0.25">
      <c r="A2144" t="s">
        <v>98</v>
      </c>
      <c r="B2144" s="6">
        <v>45611</v>
      </c>
      <c r="C2144" t="s">
        <v>195</v>
      </c>
      <c r="D2144" t="s">
        <v>73</v>
      </c>
      <c r="E2144">
        <v>39600</v>
      </c>
      <c r="F2144">
        <v>577.16</v>
      </c>
    </row>
    <row r="2145" spans="1:6" x14ac:dyDescent="0.25">
      <c r="A2145" t="s">
        <v>98</v>
      </c>
      <c r="B2145" s="6">
        <v>45611</v>
      </c>
      <c r="C2145" t="s">
        <v>195</v>
      </c>
      <c r="D2145" t="s">
        <v>22</v>
      </c>
      <c r="E2145">
        <v>48472</v>
      </c>
      <c r="F2145">
        <v>0</v>
      </c>
    </row>
    <row r="2146" spans="1:6" x14ac:dyDescent="0.25">
      <c r="A2146" t="s">
        <v>98</v>
      </c>
      <c r="B2146" s="6">
        <v>45611</v>
      </c>
      <c r="C2146" t="s">
        <v>195</v>
      </c>
      <c r="D2146" t="s">
        <v>22</v>
      </c>
      <c r="E2146">
        <v>45792</v>
      </c>
      <c r="F2146">
        <v>0</v>
      </c>
    </row>
    <row r="2147" spans="1:6" x14ac:dyDescent="0.25">
      <c r="A2147" t="s">
        <v>98</v>
      </c>
      <c r="B2147" s="6">
        <v>45611</v>
      </c>
      <c r="C2147" t="s">
        <v>195</v>
      </c>
      <c r="D2147" t="s">
        <v>22</v>
      </c>
      <c r="E2147">
        <v>39001</v>
      </c>
      <c r="F2147">
        <v>0</v>
      </c>
    </row>
    <row r="2148" spans="1:6" x14ac:dyDescent="0.25">
      <c r="A2148" t="s">
        <v>98</v>
      </c>
      <c r="B2148" s="6">
        <v>45611</v>
      </c>
      <c r="C2148" t="s">
        <v>195</v>
      </c>
      <c r="D2148" t="s">
        <v>22</v>
      </c>
      <c r="E2148">
        <v>33531</v>
      </c>
      <c r="F2148">
        <v>0</v>
      </c>
    </row>
    <row r="2149" spans="1:6" x14ac:dyDescent="0.25">
      <c r="A2149" t="s">
        <v>98</v>
      </c>
      <c r="B2149" s="6">
        <v>45611</v>
      </c>
      <c r="C2149" t="s">
        <v>203</v>
      </c>
      <c r="D2149" t="s">
        <v>22</v>
      </c>
      <c r="E2149">
        <v>2174</v>
      </c>
      <c r="F2149">
        <v>0</v>
      </c>
    </row>
    <row r="2150" spans="1:6" x14ac:dyDescent="0.25">
      <c r="A2150" t="s">
        <v>98</v>
      </c>
      <c r="B2150" s="6">
        <v>45611</v>
      </c>
      <c r="C2150" t="s">
        <v>203</v>
      </c>
      <c r="D2150" t="s">
        <v>22</v>
      </c>
      <c r="E2150">
        <v>757</v>
      </c>
      <c r="F2150">
        <v>0</v>
      </c>
    </row>
    <row r="2151" spans="1:6" x14ac:dyDescent="0.25">
      <c r="A2151" t="s">
        <v>98</v>
      </c>
      <c r="B2151" s="6">
        <v>45611</v>
      </c>
      <c r="C2151" t="s">
        <v>202</v>
      </c>
      <c r="D2151" t="s">
        <v>22</v>
      </c>
      <c r="E2151">
        <v>945</v>
      </c>
      <c r="F2151">
        <v>0</v>
      </c>
    </row>
    <row r="2152" spans="1:6" x14ac:dyDescent="0.25">
      <c r="A2152" t="s">
        <v>98</v>
      </c>
      <c r="B2152" s="6">
        <v>45611</v>
      </c>
      <c r="C2152" t="s">
        <v>202</v>
      </c>
      <c r="D2152" t="s">
        <v>22</v>
      </c>
      <c r="E2152">
        <v>5922</v>
      </c>
      <c r="F2152">
        <v>0</v>
      </c>
    </row>
    <row r="2153" spans="1:6" x14ac:dyDescent="0.25">
      <c r="A2153" t="s">
        <v>98</v>
      </c>
      <c r="B2153" s="6">
        <v>45611</v>
      </c>
      <c r="C2153" t="s">
        <v>204</v>
      </c>
      <c r="D2153" t="s">
        <v>22</v>
      </c>
      <c r="E2153">
        <v>2174</v>
      </c>
      <c r="F2153">
        <v>0</v>
      </c>
    </row>
    <row r="2154" spans="1:6" x14ac:dyDescent="0.25">
      <c r="A2154" t="s">
        <v>98</v>
      </c>
      <c r="B2154" s="6">
        <v>45611</v>
      </c>
      <c r="C2154" t="s">
        <v>204</v>
      </c>
      <c r="D2154" t="s">
        <v>22</v>
      </c>
      <c r="E2154">
        <v>757</v>
      </c>
      <c r="F2154">
        <v>0</v>
      </c>
    </row>
    <row r="2155" spans="1:6" x14ac:dyDescent="0.25">
      <c r="A2155" t="s">
        <v>98</v>
      </c>
      <c r="B2155" s="6">
        <v>45601</v>
      </c>
      <c r="C2155" t="s">
        <v>195</v>
      </c>
      <c r="D2155" t="s">
        <v>180</v>
      </c>
      <c r="E2155">
        <v>30581</v>
      </c>
      <c r="F2155">
        <v>567.70000000000005</v>
      </c>
    </row>
    <row r="2156" spans="1:6" x14ac:dyDescent="0.25">
      <c r="A2156" t="s">
        <v>98</v>
      </c>
      <c r="B2156" s="6">
        <v>45597</v>
      </c>
      <c r="C2156" t="s">
        <v>201</v>
      </c>
      <c r="D2156" t="s">
        <v>10</v>
      </c>
      <c r="E2156">
        <v>194041799</v>
      </c>
      <c r="F2156">
        <v>0</v>
      </c>
    </row>
    <row r="2157" spans="1:6" x14ac:dyDescent="0.25">
      <c r="A2157" t="s">
        <v>98</v>
      </c>
      <c r="B2157" s="6">
        <v>45597</v>
      </c>
      <c r="C2157" t="s">
        <v>201</v>
      </c>
      <c r="D2157" t="s">
        <v>74</v>
      </c>
      <c r="E2157">
        <v>659004</v>
      </c>
      <c r="F2157">
        <v>0</v>
      </c>
    </row>
    <row r="2158" spans="1:6" x14ac:dyDescent="0.25">
      <c r="A2158" t="s">
        <v>98</v>
      </c>
      <c r="B2158" s="6">
        <v>45597</v>
      </c>
      <c r="C2158" t="s">
        <v>201</v>
      </c>
      <c r="D2158" t="s">
        <v>74</v>
      </c>
      <c r="E2158">
        <v>0</v>
      </c>
      <c r="F2158">
        <v>0</v>
      </c>
    </row>
    <row r="2159" spans="1:6" x14ac:dyDescent="0.25">
      <c r="A2159" t="s">
        <v>98</v>
      </c>
      <c r="B2159" s="6">
        <v>45597</v>
      </c>
      <c r="C2159" t="s">
        <v>201</v>
      </c>
      <c r="D2159" t="s">
        <v>10</v>
      </c>
      <c r="E2159">
        <v>141000</v>
      </c>
      <c r="F2159">
        <v>0</v>
      </c>
    </row>
    <row r="2160" spans="1:6" x14ac:dyDescent="0.25">
      <c r="A2160" t="s">
        <v>98</v>
      </c>
      <c r="B2160" s="6">
        <v>45597</v>
      </c>
      <c r="C2160" t="s">
        <v>196</v>
      </c>
      <c r="D2160" t="s">
        <v>180</v>
      </c>
      <c r="E2160">
        <v>10294</v>
      </c>
      <c r="F2160">
        <v>567.58000000000004</v>
      </c>
    </row>
    <row r="2161" spans="1:6" x14ac:dyDescent="0.25">
      <c r="A2161" t="s">
        <v>98</v>
      </c>
      <c r="B2161" s="6">
        <v>45595</v>
      </c>
      <c r="C2161" t="s">
        <v>201</v>
      </c>
      <c r="D2161" t="s">
        <v>180</v>
      </c>
      <c r="E2161">
        <v>518004</v>
      </c>
      <c r="F2161">
        <v>600.1739</v>
      </c>
    </row>
    <row r="2162" spans="1:6" x14ac:dyDescent="0.25">
      <c r="A2162" t="s">
        <v>98</v>
      </c>
      <c r="B2162" s="6">
        <v>45594</v>
      </c>
      <c r="C2162" t="s">
        <v>195</v>
      </c>
      <c r="D2162" t="s">
        <v>180</v>
      </c>
      <c r="E2162">
        <v>31482</v>
      </c>
      <c r="F2162">
        <v>580.1</v>
      </c>
    </row>
    <row r="2163" spans="1:6" x14ac:dyDescent="0.25">
      <c r="A2163" t="s">
        <v>98</v>
      </c>
      <c r="B2163" s="6">
        <v>45593</v>
      </c>
      <c r="C2163" t="s">
        <v>206</v>
      </c>
      <c r="D2163" t="s">
        <v>180</v>
      </c>
      <c r="E2163">
        <v>5295</v>
      </c>
      <c r="F2163">
        <v>582.5</v>
      </c>
    </row>
    <row r="2164" spans="1:6" x14ac:dyDescent="0.25">
      <c r="A2164" t="s">
        <v>98</v>
      </c>
      <c r="B2164" s="6">
        <v>45590</v>
      </c>
      <c r="C2164" t="s">
        <v>196</v>
      </c>
      <c r="D2164" t="s">
        <v>180</v>
      </c>
      <c r="E2164">
        <v>10707</v>
      </c>
      <c r="F2164">
        <v>574.16</v>
      </c>
    </row>
    <row r="2165" spans="1:6" x14ac:dyDescent="0.25">
      <c r="A2165" t="s">
        <v>98</v>
      </c>
      <c r="B2165" s="6">
        <v>45587</v>
      </c>
      <c r="C2165" t="s">
        <v>195</v>
      </c>
      <c r="D2165" t="s">
        <v>180</v>
      </c>
      <c r="E2165">
        <v>32387</v>
      </c>
      <c r="F2165">
        <v>574.70000000000005</v>
      </c>
    </row>
    <row r="2166" spans="1:6" x14ac:dyDescent="0.25">
      <c r="A2166" t="s">
        <v>98</v>
      </c>
      <c r="B2166" s="6">
        <v>45583</v>
      </c>
      <c r="C2166" t="s">
        <v>196</v>
      </c>
      <c r="D2166" t="s">
        <v>180</v>
      </c>
      <c r="E2166">
        <v>11120</v>
      </c>
      <c r="F2166">
        <v>580.65</v>
      </c>
    </row>
    <row r="2167" spans="1:6" x14ac:dyDescent="0.25">
      <c r="A2167" t="s">
        <v>98</v>
      </c>
      <c r="B2167" s="6">
        <v>45580</v>
      </c>
      <c r="C2167" t="s">
        <v>195</v>
      </c>
      <c r="D2167" t="s">
        <v>180</v>
      </c>
      <c r="E2167">
        <v>33292</v>
      </c>
      <c r="F2167">
        <v>589.97</v>
      </c>
    </row>
    <row r="2168" spans="1:6" x14ac:dyDescent="0.25">
      <c r="A2168" t="s">
        <v>98</v>
      </c>
      <c r="B2168" s="6">
        <v>45579</v>
      </c>
      <c r="C2168" t="s">
        <v>201</v>
      </c>
      <c r="D2168" t="s">
        <v>180</v>
      </c>
      <c r="E2168">
        <v>518424</v>
      </c>
      <c r="F2168">
        <v>600</v>
      </c>
    </row>
    <row r="2169" spans="1:6" x14ac:dyDescent="0.25">
      <c r="A2169" t="s">
        <v>98</v>
      </c>
      <c r="B2169" s="6">
        <v>45576</v>
      </c>
      <c r="C2169" t="s">
        <v>196</v>
      </c>
      <c r="D2169" t="s">
        <v>180</v>
      </c>
      <c r="E2169">
        <v>11533</v>
      </c>
      <c r="F2169">
        <v>584.83000000000004</v>
      </c>
    </row>
    <row r="2170" spans="1:6" x14ac:dyDescent="0.25">
      <c r="A2170" t="s">
        <v>98</v>
      </c>
      <c r="B2170" s="6">
        <v>45573</v>
      </c>
      <c r="C2170" t="s">
        <v>200</v>
      </c>
      <c r="D2170" t="s">
        <v>74</v>
      </c>
      <c r="E2170">
        <v>22988</v>
      </c>
      <c r="F2170">
        <v>0</v>
      </c>
    </row>
    <row r="2171" spans="1:6" x14ac:dyDescent="0.25">
      <c r="A2171" t="s">
        <v>98</v>
      </c>
      <c r="B2171" s="6">
        <v>45573</v>
      </c>
      <c r="C2171" t="s">
        <v>200</v>
      </c>
      <c r="D2171" t="s">
        <v>74</v>
      </c>
      <c r="E2171">
        <v>46769</v>
      </c>
      <c r="F2171">
        <v>0</v>
      </c>
    </row>
    <row r="2172" spans="1:6" x14ac:dyDescent="0.25">
      <c r="A2172" t="s">
        <v>98</v>
      </c>
      <c r="B2172" s="6">
        <v>45573</v>
      </c>
      <c r="C2172" t="s">
        <v>195</v>
      </c>
      <c r="D2172" t="s">
        <v>180</v>
      </c>
      <c r="E2172">
        <v>34197</v>
      </c>
      <c r="F2172">
        <v>589.89</v>
      </c>
    </row>
    <row r="2173" spans="1:6" x14ac:dyDescent="0.25">
      <c r="A2173" t="s">
        <v>98</v>
      </c>
      <c r="B2173" s="6">
        <v>45572</v>
      </c>
      <c r="C2173" t="s">
        <v>201</v>
      </c>
      <c r="D2173" t="s">
        <v>180</v>
      </c>
      <c r="E2173">
        <v>518508</v>
      </c>
      <c r="F2173">
        <v>601.32000000000005</v>
      </c>
    </row>
    <row r="2174" spans="1:6" x14ac:dyDescent="0.25">
      <c r="A2174" t="s">
        <v>98</v>
      </c>
      <c r="B2174" s="6">
        <v>45572</v>
      </c>
      <c r="C2174" t="s">
        <v>201</v>
      </c>
      <c r="D2174" t="s">
        <v>180</v>
      </c>
      <c r="E2174">
        <v>518608</v>
      </c>
      <c r="F2174">
        <v>600.60130000000004</v>
      </c>
    </row>
    <row r="2175" spans="1:6" x14ac:dyDescent="0.25">
      <c r="A2175" t="s">
        <v>98</v>
      </c>
      <c r="B2175" s="6">
        <v>45569</v>
      </c>
      <c r="C2175" t="s">
        <v>196</v>
      </c>
      <c r="D2175" t="s">
        <v>180</v>
      </c>
      <c r="E2175">
        <v>11946</v>
      </c>
      <c r="F2175">
        <v>583.73</v>
      </c>
    </row>
    <row r="2176" spans="1:6" x14ac:dyDescent="0.25">
      <c r="A2176" t="s">
        <v>98</v>
      </c>
      <c r="B2176" s="6">
        <v>45566</v>
      </c>
      <c r="C2176" t="s">
        <v>195</v>
      </c>
      <c r="D2176" t="s">
        <v>180</v>
      </c>
      <c r="E2176">
        <v>35102</v>
      </c>
      <c r="F2176">
        <v>578.54999999999995</v>
      </c>
    </row>
    <row r="2177" spans="1:6" x14ac:dyDescent="0.25">
      <c r="A2177" t="s">
        <v>98</v>
      </c>
      <c r="B2177" s="6">
        <v>45562</v>
      </c>
      <c r="C2177" t="s">
        <v>196</v>
      </c>
      <c r="D2177" t="s">
        <v>180</v>
      </c>
      <c r="E2177">
        <v>12359</v>
      </c>
      <c r="F2177">
        <v>570</v>
      </c>
    </row>
    <row r="2178" spans="1:6" x14ac:dyDescent="0.25">
      <c r="A2178" t="s">
        <v>98</v>
      </c>
      <c r="B2178" s="6">
        <v>45559</v>
      </c>
      <c r="C2178" t="s">
        <v>195</v>
      </c>
      <c r="D2178" t="s">
        <v>180</v>
      </c>
      <c r="E2178">
        <v>36007</v>
      </c>
      <c r="F2178">
        <v>567</v>
      </c>
    </row>
    <row r="2179" spans="1:6" x14ac:dyDescent="0.25">
      <c r="A2179" t="s">
        <v>98</v>
      </c>
      <c r="B2179" s="6">
        <v>45558</v>
      </c>
      <c r="C2179" t="s">
        <v>198</v>
      </c>
      <c r="D2179" t="s">
        <v>180</v>
      </c>
      <c r="E2179">
        <v>328662</v>
      </c>
      <c r="F2179">
        <v>569.92999999999995</v>
      </c>
    </row>
    <row r="2180" spans="1:6" x14ac:dyDescent="0.25">
      <c r="A2180" t="s">
        <v>98</v>
      </c>
      <c r="B2180" s="6">
        <v>45555</v>
      </c>
      <c r="C2180" t="s">
        <v>196</v>
      </c>
      <c r="D2180" t="s">
        <v>180</v>
      </c>
      <c r="E2180">
        <v>12772</v>
      </c>
      <c r="F2180">
        <v>560</v>
      </c>
    </row>
    <row r="2181" spans="1:6" x14ac:dyDescent="0.25">
      <c r="A2181" t="s">
        <v>98</v>
      </c>
      <c r="B2181" s="6">
        <v>45554</v>
      </c>
      <c r="C2181" t="s">
        <v>198</v>
      </c>
      <c r="D2181" t="s">
        <v>180</v>
      </c>
      <c r="E2181">
        <v>338662</v>
      </c>
      <c r="F2181">
        <v>560.02800000000002</v>
      </c>
    </row>
    <row r="2182" spans="1:6" x14ac:dyDescent="0.25">
      <c r="A2182" t="s">
        <v>98</v>
      </c>
      <c r="B2182" s="6">
        <v>45554</v>
      </c>
      <c r="C2182" t="s">
        <v>198</v>
      </c>
      <c r="D2182" t="s">
        <v>180</v>
      </c>
      <c r="E2182">
        <v>348662</v>
      </c>
      <c r="F2182">
        <v>555.02059999999994</v>
      </c>
    </row>
    <row r="2183" spans="1:6" x14ac:dyDescent="0.25">
      <c r="A2183" t="s">
        <v>98</v>
      </c>
      <c r="B2183" s="6">
        <v>45552</v>
      </c>
      <c r="C2183" t="s">
        <v>195</v>
      </c>
      <c r="D2183" t="s">
        <v>180</v>
      </c>
      <c r="E2183">
        <v>36912</v>
      </c>
      <c r="F2183">
        <v>537.72</v>
      </c>
    </row>
    <row r="2184" spans="1:6" x14ac:dyDescent="0.25">
      <c r="A2184" t="s">
        <v>98</v>
      </c>
      <c r="B2184" s="6">
        <v>45548</v>
      </c>
      <c r="C2184" t="s">
        <v>196</v>
      </c>
      <c r="D2184" t="s">
        <v>180</v>
      </c>
      <c r="E2184">
        <v>13185</v>
      </c>
      <c r="F2184">
        <v>520.57000000000005</v>
      </c>
    </row>
    <row r="2185" spans="1:6" x14ac:dyDescent="0.25">
      <c r="A2185" t="s">
        <v>98</v>
      </c>
      <c r="B2185" s="6">
        <v>45545</v>
      </c>
      <c r="C2185" t="s">
        <v>195</v>
      </c>
      <c r="D2185" t="s">
        <v>180</v>
      </c>
      <c r="E2185">
        <v>37817</v>
      </c>
      <c r="F2185">
        <v>507.63</v>
      </c>
    </row>
    <row r="2186" spans="1:6" x14ac:dyDescent="0.25">
      <c r="A2186" t="s">
        <v>98</v>
      </c>
      <c r="B2186" s="6">
        <v>45541</v>
      </c>
      <c r="C2186" t="s">
        <v>196</v>
      </c>
      <c r="D2186" t="s">
        <v>180</v>
      </c>
      <c r="E2186">
        <v>13598</v>
      </c>
      <c r="F2186">
        <v>522</v>
      </c>
    </row>
    <row r="2187" spans="1:6" x14ac:dyDescent="0.25">
      <c r="A2187" t="s">
        <v>98</v>
      </c>
      <c r="B2187" s="6">
        <v>45538</v>
      </c>
      <c r="C2187" t="s">
        <v>195</v>
      </c>
      <c r="D2187" t="s">
        <v>180</v>
      </c>
      <c r="E2187">
        <v>38722</v>
      </c>
      <c r="F2187">
        <v>520</v>
      </c>
    </row>
    <row r="2188" spans="1:6" x14ac:dyDescent="0.25">
      <c r="A2188" t="s">
        <v>98</v>
      </c>
      <c r="B2188" s="6">
        <v>45534</v>
      </c>
      <c r="C2188" t="s">
        <v>196</v>
      </c>
      <c r="D2188" t="s">
        <v>180</v>
      </c>
      <c r="E2188">
        <v>14011</v>
      </c>
      <c r="F2188">
        <v>521.35</v>
      </c>
    </row>
    <row r="2189" spans="1:6" x14ac:dyDescent="0.25">
      <c r="A2189" t="s">
        <v>98</v>
      </c>
      <c r="B2189" s="6">
        <v>45534</v>
      </c>
      <c r="C2189" t="s">
        <v>201</v>
      </c>
      <c r="D2189" t="s">
        <v>180</v>
      </c>
      <c r="E2189">
        <v>519000</v>
      </c>
      <c r="F2189">
        <v>522.41070000000002</v>
      </c>
    </row>
    <row r="2190" spans="1:6" x14ac:dyDescent="0.25">
      <c r="A2190" t="s">
        <v>98</v>
      </c>
      <c r="B2190" s="6">
        <v>45534</v>
      </c>
      <c r="C2190" t="s">
        <v>201</v>
      </c>
      <c r="D2190" t="s">
        <v>180</v>
      </c>
      <c r="E2190">
        <v>519225</v>
      </c>
      <c r="F2190">
        <v>521.11189999999999</v>
      </c>
    </row>
    <row r="2191" spans="1:6" x14ac:dyDescent="0.25">
      <c r="A2191" t="s">
        <v>98</v>
      </c>
      <c r="B2191" s="6">
        <v>45534</v>
      </c>
      <c r="C2191" t="s">
        <v>201</v>
      </c>
      <c r="D2191" t="s">
        <v>180</v>
      </c>
      <c r="E2191">
        <v>520035</v>
      </c>
      <c r="F2191">
        <v>520.39419999999996</v>
      </c>
    </row>
    <row r="2192" spans="1:6" x14ac:dyDescent="0.25">
      <c r="A2192" t="s">
        <v>98</v>
      </c>
      <c r="B2192" s="6">
        <v>45534</v>
      </c>
      <c r="C2192" t="s">
        <v>201</v>
      </c>
      <c r="D2192" t="s">
        <v>180</v>
      </c>
      <c r="E2192">
        <v>521018</v>
      </c>
      <c r="F2192">
        <v>519.21860000000004</v>
      </c>
    </row>
    <row r="2193" spans="1:6" x14ac:dyDescent="0.25">
      <c r="A2193" t="s">
        <v>98</v>
      </c>
      <c r="B2193" s="6">
        <v>45534</v>
      </c>
      <c r="C2193" t="s">
        <v>201</v>
      </c>
      <c r="D2193" t="s">
        <v>180</v>
      </c>
      <c r="E2193">
        <v>521839</v>
      </c>
      <c r="F2193">
        <v>518.08690000000001</v>
      </c>
    </row>
    <row r="2194" spans="1:6" x14ac:dyDescent="0.25">
      <c r="A2194" t="s">
        <v>98</v>
      </c>
      <c r="B2194" s="6">
        <v>45534</v>
      </c>
      <c r="C2194" t="s">
        <v>201</v>
      </c>
      <c r="D2194" t="s">
        <v>180</v>
      </c>
      <c r="E2194">
        <v>522468</v>
      </c>
      <c r="F2194">
        <v>517.48630000000003</v>
      </c>
    </row>
    <row r="2195" spans="1:6" x14ac:dyDescent="0.25">
      <c r="A2195" t="s">
        <v>98</v>
      </c>
      <c r="B2195" s="6">
        <v>45534</v>
      </c>
      <c r="C2195" t="s">
        <v>201</v>
      </c>
      <c r="D2195" t="s">
        <v>180</v>
      </c>
      <c r="E2195">
        <v>523475</v>
      </c>
      <c r="F2195">
        <v>516.42150000000004</v>
      </c>
    </row>
    <row r="2196" spans="1:6" x14ac:dyDescent="0.25">
      <c r="A2196" t="s">
        <v>98</v>
      </c>
      <c r="B2196" s="6">
        <v>45533</v>
      </c>
      <c r="C2196" t="s">
        <v>201</v>
      </c>
      <c r="D2196" t="s">
        <v>180</v>
      </c>
      <c r="E2196">
        <v>523909</v>
      </c>
      <c r="F2196">
        <v>526.90679999999998</v>
      </c>
    </row>
    <row r="2197" spans="1:6" x14ac:dyDescent="0.25">
      <c r="A2197" t="s">
        <v>98</v>
      </c>
      <c r="B2197" s="6">
        <v>45533</v>
      </c>
      <c r="C2197" t="s">
        <v>201</v>
      </c>
      <c r="D2197" t="s">
        <v>180</v>
      </c>
      <c r="E2197">
        <v>524012</v>
      </c>
      <c r="F2197">
        <v>526.00800000000004</v>
      </c>
    </row>
    <row r="2198" spans="1:6" x14ac:dyDescent="0.25">
      <c r="A2198" t="s">
        <v>98</v>
      </c>
      <c r="B2198" s="6">
        <v>45533</v>
      </c>
      <c r="C2198" t="s">
        <v>201</v>
      </c>
      <c r="D2198" t="s">
        <v>180</v>
      </c>
      <c r="E2198">
        <v>524452</v>
      </c>
      <c r="F2198">
        <v>524.90049999999997</v>
      </c>
    </row>
    <row r="2199" spans="1:6" x14ac:dyDescent="0.25">
      <c r="A2199" t="s">
        <v>98</v>
      </c>
      <c r="B2199" s="6">
        <v>45533</v>
      </c>
      <c r="C2199" t="s">
        <v>201</v>
      </c>
      <c r="D2199" t="s">
        <v>180</v>
      </c>
      <c r="E2199">
        <v>526044</v>
      </c>
      <c r="F2199">
        <v>523.86419999999998</v>
      </c>
    </row>
    <row r="2200" spans="1:6" x14ac:dyDescent="0.25">
      <c r="A2200" t="s">
        <v>98</v>
      </c>
      <c r="B2200" s="6">
        <v>45533</v>
      </c>
      <c r="C2200" t="s">
        <v>201</v>
      </c>
      <c r="D2200" t="s">
        <v>180</v>
      </c>
      <c r="E2200">
        <v>527251</v>
      </c>
      <c r="F2200">
        <v>522.58299999999997</v>
      </c>
    </row>
    <row r="2201" spans="1:6" x14ac:dyDescent="0.25">
      <c r="A2201" t="s">
        <v>98</v>
      </c>
      <c r="B2201" s="6">
        <v>45533</v>
      </c>
      <c r="C2201" t="s">
        <v>201</v>
      </c>
      <c r="D2201" t="s">
        <v>180</v>
      </c>
      <c r="E2201">
        <v>528774</v>
      </c>
      <c r="F2201">
        <v>521.48829999999998</v>
      </c>
    </row>
    <row r="2202" spans="1:6" x14ac:dyDescent="0.25">
      <c r="A2202" t="s">
        <v>98</v>
      </c>
      <c r="B2202" s="6">
        <v>45533</v>
      </c>
      <c r="C2202" t="s">
        <v>201</v>
      </c>
      <c r="D2202" t="s">
        <v>180</v>
      </c>
      <c r="E2202">
        <v>529350</v>
      </c>
      <c r="F2202">
        <v>520.21799999999996</v>
      </c>
    </row>
    <row r="2203" spans="1:6" x14ac:dyDescent="0.25">
      <c r="A2203" t="s">
        <v>98</v>
      </c>
      <c r="B2203" s="6">
        <v>45533</v>
      </c>
      <c r="C2203" t="s">
        <v>201</v>
      </c>
      <c r="D2203" t="s">
        <v>180</v>
      </c>
      <c r="E2203">
        <v>529853</v>
      </c>
      <c r="F2203">
        <v>519.18089999999995</v>
      </c>
    </row>
    <row r="2204" spans="1:6" x14ac:dyDescent="0.25">
      <c r="A2204" t="s">
        <v>98</v>
      </c>
      <c r="B2204" s="6">
        <v>45533</v>
      </c>
      <c r="C2204" t="s">
        <v>201</v>
      </c>
      <c r="D2204" t="s">
        <v>180</v>
      </c>
      <c r="E2204">
        <v>530262</v>
      </c>
      <c r="F2204">
        <v>518.03980000000001</v>
      </c>
    </row>
    <row r="2205" spans="1:6" x14ac:dyDescent="0.25">
      <c r="A2205" t="s">
        <v>98</v>
      </c>
      <c r="B2205" s="6">
        <v>45533</v>
      </c>
      <c r="C2205" t="s">
        <v>201</v>
      </c>
      <c r="D2205" t="s">
        <v>180</v>
      </c>
      <c r="E2205">
        <v>531148</v>
      </c>
      <c r="F2205">
        <v>517.2722</v>
      </c>
    </row>
    <row r="2206" spans="1:6" x14ac:dyDescent="0.25">
      <c r="A2206" t="s">
        <v>98</v>
      </c>
      <c r="B2206" s="6">
        <v>45532</v>
      </c>
      <c r="C2206" t="s">
        <v>201</v>
      </c>
      <c r="D2206" t="s">
        <v>180</v>
      </c>
      <c r="E2206">
        <v>531884</v>
      </c>
      <c r="F2206">
        <v>520.59</v>
      </c>
    </row>
    <row r="2207" spans="1:6" x14ac:dyDescent="0.25">
      <c r="A2207" t="s">
        <v>98</v>
      </c>
      <c r="B2207" s="6">
        <v>45532</v>
      </c>
      <c r="C2207" t="s">
        <v>201</v>
      </c>
      <c r="D2207" t="s">
        <v>180</v>
      </c>
      <c r="E2207">
        <v>531980</v>
      </c>
      <c r="F2207">
        <v>518.9511</v>
      </c>
    </row>
    <row r="2208" spans="1:6" x14ac:dyDescent="0.25">
      <c r="A2208" t="s">
        <v>98</v>
      </c>
      <c r="B2208" s="6">
        <v>45532</v>
      </c>
      <c r="C2208" t="s">
        <v>201</v>
      </c>
      <c r="D2208" t="s">
        <v>180</v>
      </c>
      <c r="E2208">
        <v>532326</v>
      </c>
      <c r="F2208">
        <v>518.07950000000005</v>
      </c>
    </row>
    <row r="2209" spans="1:6" x14ac:dyDescent="0.25">
      <c r="A2209" t="s">
        <v>98</v>
      </c>
      <c r="B2209" s="6">
        <v>45532</v>
      </c>
      <c r="C2209" t="s">
        <v>201</v>
      </c>
      <c r="D2209" t="s">
        <v>180</v>
      </c>
      <c r="E2209">
        <v>533510</v>
      </c>
      <c r="F2209">
        <v>517.18960000000004</v>
      </c>
    </row>
    <row r="2210" spans="1:6" x14ac:dyDescent="0.25">
      <c r="A2210" t="s">
        <v>98</v>
      </c>
      <c r="B2210" s="6">
        <v>45532</v>
      </c>
      <c r="C2210" t="s">
        <v>201</v>
      </c>
      <c r="D2210" t="s">
        <v>180</v>
      </c>
      <c r="E2210">
        <v>534972</v>
      </c>
      <c r="F2210">
        <v>516.02750000000003</v>
      </c>
    </row>
    <row r="2211" spans="1:6" x14ac:dyDescent="0.25">
      <c r="A2211" t="s">
        <v>98</v>
      </c>
      <c r="B2211" s="6">
        <v>45532</v>
      </c>
      <c r="C2211" t="s">
        <v>201</v>
      </c>
      <c r="D2211" t="s">
        <v>180</v>
      </c>
      <c r="E2211">
        <v>537126</v>
      </c>
      <c r="F2211">
        <v>515.08749999999998</v>
      </c>
    </row>
    <row r="2212" spans="1:6" x14ac:dyDescent="0.25">
      <c r="A2212" t="s">
        <v>98</v>
      </c>
      <c r="B2212" s="6">
        <v>45532</v>
      </c>
      <c r="C2212" t="s">
        <v>201</v>
      </c>
      <c r="D2212" t="s">
        <v>180</v>
      </c>
      <c r="E2212">
        <v>539529</v>
      </c>
      <c r="F2212">
        <v>514.0009</v>
      </c>
    </row>
    <row r="2213" spans="1:6" x14ac:dyDescent="0.25">
      <c r="A2213" t="s">
        <v>98</v>
      </c>
      <c r="B2213" s="6">
        <v>45531</v>
      </c>
      <c r="C2213" t="s">
        <v>200</v>
      </c>
      <c r="D2213" t="s">
        <v>180</v>
      </c>
      <c r="E2213">
        <v>0</v>
      </c>
      <c r="F2213">
        <v>519.73050000000001</v>
      </c>
    </row>
    <row r="2214" spans="1:6" x14ac:dyDescent="0.25">
      <c r="A2214" t="s">
        <v>98</v>
      </c>
      <c r="B2214" s="6">
        <v>45531</v>
      </c>
      <c r="C2214" t="s">
        <v>200</v>
      </c>
      <c r="D2214" t="s">
        <v>180</v>
      </c>
      <c r="E2214">
        <v>1417</v>
      </c>
      <c r="F2214">
        <v>519.14329999999995</v>
      </c>
    </row>
    <row r="2215" spans="1:6" x14ac:dyDescent="0.25">
      <c r="A2215" t="s">
        <v>98</v>
      </c>
      <c r="B2215" s="6">
        <v>45531</v>
      </c>
      <c r="C2215" t="s">
        <v>200</v>
      </c>
      <c r="D2215" t="s">
        <v>180</v>
      </c>
      <c r="E2215">
        <v>4155</v>
      </c>
      <c r="F2215">
        <v>518.05430000000001</v>
      </c>
    </row>
    <row r="2216" spans="1:6" x14ac:dyDescent="0.25">
      <c r="A2216" t="s">
        <v>98</v>
      </c>
      <c r="B2216" s="6">
        <v>45531</v>
      </c>
      <c r="C2216" t="s">
        <v>200</v>
      </c>
      <c r="D2216" t="s">
        <v>180</v>
      </c>
      <c r="E2216">
        <v>9019</v>
      </c>
      <c r="F2216">
        <v>516.95799999999997</v>
      </c>
    </row>
    <row r="2217" spans="1:6" x14ac:dyDescent="0.25">
      <c r="A2217" t="s">
        <v>98</v>
      </c>
      <c r="B2217" s="6">
        <v>45531</v>
      </c>
      <c r="C2217" t="s">
        <v>200</v>
      </c>
      <c r="D2217" t="s">
        <v>180</v>
      </c>
      <c r="E2217">
        <v>12982</v>
      </c>
      <c r="F2217">
        <v>516.005</v>
      </c>
    </row>
    <row r="2218" spans="1:6" x14ac:dyDescent="0.25">
      <c r="A2218" t="s">
        <v>98</v>
      </c>
      <c r="B2218" s="6">
        <v>45531</v>
      </c>
      <c r="C2218" t="s">
        <v>200</v>
      </c>
      <c r="D2218" t="s">
        <v>180</v>
      </c>
      <c r="E2218">
        <v>69757</v>
      </c>
      <c r="F2218">
        <v>519.85670000000005</v>
      </c>
    </row>
    <row r="2219" spans="1:6" x14ac:dyDescent="0.25">
      <c r="A2219" t="s">
        <v>98</v>
      </c>
      <c r="B2219" s="6">
        <v>45531</v>
      </c>
      <c r="C2219" t="s">
        <v>200</v>
      </c>
      <c r="D2219" t="s">
        <v>180</v>
      </c>
      <c r="E2219">
        <v>70441</v>
      </c>
      <c r="F2219">
        <v>519.2885</v>
      </c>
    </row>
    <row r="2220" spans="1:6" x14ac:dyDescent="0.25">
      <c r="A2220" t="s">
        <v>98</v>
      </c>
      <c r="B2220" s="6">
        <v>45531</v>
      </c>
      <c r="C2220" t="s">
        <v>200</v>
      </c>
      <c r="D2220" t="s">
        <v>180</v>
      </c>
      <c r="E2220">
        <v>72211</v>
      </c>
      <c r="F2220">
        <v>518.08889999999997</v>
      </c>
    </row>
    <row r="2221" spans="1:6" x14ac:dyDescent="0.25">
      <c r="A2221" t="s">
        <v>98</v>
      </c>
      <c r="B2221" s="6">
        <v>45531</v>
      </c>
      <c r="C2221" t="s">
        <v>200</v>
      </c>
      <c r="D2221" t="s">
        <v>180</v>
      </c>
      <c r="E2221">
        <v>75349</v>
      </c>
      <c r="F2221">
        <v>517.07590000000005</v>
      </c>
    </row>
    <row r="2222" spans="1:6" x14ac:dyDescent="0.25">
      <c r="A2222" t="s">
        <v>98</v>
      </c>
      <c r="B2222" s="6">
        <v>45531</v>
      </c>
      <c r="C2222" t="s">
        <v>200</v>
      </c>
      <c r="D2222" t="s">
        <v>180</v>
      </c>
      <c r="E2222">
        <v>77685</v>
      </c>
      <c r="F2222">
        <v>516.13289999999995</v>
      </c>
    </row>
    <row r="2223" spans="1:6" x14ac:dyDescent="0.25">
      <c r="A2223" t="s">
        <v>98</v>
      </c>
      <c r="B2223" s="6">
        <v>45531</v>
      </c>
      <c r="C2223" t="s">
        <v>200</v>
      </c>
      <c r="D2223" t="s">
        <v>180</v>
      </c>
      <c r="E2223">
        <v>78803</v>
      </c>
      <c r="F2223">
        <v>519.85670000000005</v>
      </c>
    </row>
    <row r="2224" spans="1:6" x14ac:dyDescent="0.25">
      <c r="A2224" t="s">
        <v>98</v>
      </c>
      <c r="B2224" s="6">
        <v>45531</v>
      </c>
      <c r="C2224" t="s">
        <v>200</v>
      </c>
      <c r="D2224" t="s">
        <v>180</v>
      </c>
      <c r="E2224">
        <v>79528</v>
      </c>
      <c r="F2224">
        <v>519.2885</v>
      </c>
    </row>
    <row r="2225" spans="1:6" x14ac:dyDescent="0.25">
      <c r="A2225" t="s">
        <v>98</v>
      </c>
      <c r="B2225" s="6">
        <v>45531</v>
      </c>
      <c r="C2225" t="s">
        <v>200</v>
      </c>
      <c r="D2225" t="s">
        <v>180</v>
      </c>
      <c r="E2225">
        <v>81406</v>
      </c>
      <c r="F2225">
        <v>518.08889999999997</v>
      </c>
    </row>
    <row r="2226" spans="1:6" x14ac:dyDescent="0.25">
      <c r="A2226" t="s">
        <v>98</v>
      </c>
      <c r="B2226" s="6">
        <v>45531</v>
      </c>
      <c r="C2226" t="s">
        <v>200</v>
      </c>
      <c r="D2226" t="s">
        <v>180</v>
      </c>
      <c r="E2226">
        <v>84735</v>
      </c>
      <c r="F2226">
        <v>517.07590000000005</v>
      </c>
    </row>
    <row r="2227" spans="1:6" x14ac:dyDescent="0.25">
      <c r="A2227" t="s">
        <v>98</v>
      </c>
      <c r="B2227" s="6">
        <v>45531</v>
      </c>
      <c r="C2227" t="s">
        <v>200</v>
      </c>
      <c r="D2227" t="s">
        <v>180</v>
      </c>
      <c r="E2227">
        <v>87214</v>
      </c>
      <c r="F2227">
        <v>516.13289999999995</v>
      </c>
    </row>
    <row r="2228" spans="1:6" x14ac:dyDescent="0.25">
      <c r="A2228" t="s">
        <v>98</v>
      </c>
      <c r="B2228" s="6">
        <v>45531</v>
      </c>
      <c r="C2228" t="s">
        <v>195</v>
      </c>
      <c r="D2228" t="s">
        <v>180</v>
      </c>
      <c r="E2228">
        <v>39627</v>
      </c>
      <c r="F2228">
        <v>519.04999999999995</v>
      </c>
    </row>
    <row r="2229" spans="1:6" x14ac:dyDescent="0.25">
      <c r="A2229" t="s">
        <v>98</v>
      </c>
      <c r="B2229" s="6">
        <v>45531</v>
      </c>
      <c r="C2229" t="s">
        <v>201</v>
      </c>
      <c r="D2229" t="s">
        <v>180</v>
      </c>
      <c r="E2229">
        <v>0</v>
      </c>
      <c r="F2229">
        <v>522.81650000000002</v>
      </c>
    </row>
    <row r="2230" spans="1:6" x14ac:dyDescent="0.25">
      <c r="A2230" t="s">
        <v>98</v>
      </c>
      <c r="B2230" s="6">
        <v>45531</v>
      </c>
      <c r="C2230" t="s">
        <v>201</v>
      </c>
      <c r="D2230" t="s">
        <v>180</v>
      </c>
      <c r="E2230">
        <v>208</v>
      </c>
      <c r="F2230">
        <v>521.83050000000003</v>
      </c>
    </row>
    <row r="2231" spans="1:6" x14ac:dyDescent="0.25">
      <c r="A2231" t="s">
        <v>98</v>
      </c>
      <c r="B2231" s="6">
        <v>45531</v>
      </c>
      <c r="C2231" t="s">
        <v>201</v>
      </c>
      <c r="D2231" t="s">
        <v>180</v>
      </c>
      <c r="E2231">
        <v>711</v>
      </c>
      <c r="F2231">
        <v>520.68889999999999</v>
      </c>
    </row>
    <row r="2232" spans="1:6" x14ac:dyDescent="0.25">
      <c r="A2232" t="s">
        <v>98</v>
      </c>
      <c r="B2232" s="6">
        <v>45531</v>
      </c>
      <c r="C2232" t="s">
        <v>201</v>
      </c>
      <c r="D2232" t="s">
        <v>180</v>
      </c>
      <c r="E2232">
        <v>1145</v>
      </c>
      <c r="F2232">
        <v>519.63739999999996</v>
      </c>
    </row>
    <row r="2233" spans="1:6" x14ac:dyDescent="0.25">
      <c r="A2233" t="s">
        <v>98</v>
      </c>
      <c r="B2233" s="6">
        <v>45531</v>
      </c>
      <c r="C2233" t="s">
        <v>201</v>
      </c>
      <c r="D2233" t="s">
        <v>180</v>
      </c>
      <c r="E2233">
        <v>2059</v>
      </c>
      <c r="F2233">
        <v>518.66650000000004</v>
      </c>
    </row>
    <row r="2234" spans="1:6" x14ac:dyDescent="0.25">
      <c r="A2234" t="s">
        <v>98</v>
      </c>
      <c r="B2234" s="6">
        <v>45531</v>
      </c>
      <c r="C2234" t="s">
        <v>201</v>
      </c>
      <c r="D2234" t="s">
        <v>180</v>
      </c>
      <c r="E2234">
        <v>2525</v>
      </c>
      <c r="F2234">
        <v>516.97</v>
      </c>
    </row>
    <row r="2235" spans="1:6" x14ac:dyDescent="0.25">
      <c r="A2235" t="s">
        <v>98</v>
      </c>
      <c r="B2235" s="6">
        <v>45531</v>
      </c>
      <c r="C2235" t="s">
        <v>201</v>
      </c>
      <c r="D2235" t="s">
        <v>180</v>
      </c>
      <c r="E2235">
        <v>539859</v>
      </c>
      <c r="F2235">
        <v>523.14909999999998</v>
      </c>
    </row>
    <row r="2236" spans="1:6" x14ac:dyDescent="0.25">
      <c r="A2236" t="s">
        <v>98</v>
      </c>
      <c r="B2236" s="6">
        <v>45531</v>
      </c>
      <c r="C2236" t="s">
        <v>201</v>
      </c>
      <c r="D2236" t="s">
        <v>180</v>
      </c>
      <c r="E2236">
        <v>539977</v>
      </c>
      <c r="F2236">
        <v>522.33989999999994</v>
      </c>
    </row>
    <row r="2237" spans="1:6" x14ac:dyDescent="0.25">
      <c r="A2237" t="s">
        <v>98</v>
      </c>
      <c r="B2237" s="6">
        <v>45531</v>
      </c>
      <c r="C2237" t="s">
        <v>201</v>
      </c>
      <c r="D2237" t="s">
        <v>180</v>
      </c>
      <c r="E2237">
        <v>541052</v>
      </c>
      <c r="F2237">
        <v>521.19219999999996</v>
      </c>
    </row>
    <row r="2238" spans="1:6" x14ac:dyDescent="0.25">
      <c r="A2238" t="s">
        <v>98</v>
      </c>
      <c r="B2238" s="6">
        <v>45531</v>
      </c>
      <c r="C2238" t="s">
        <v>201</v>
      </c>
      <c r="D2238" t="s">
        <v>180</v>
      </c>
      <c r="E2238">
        <v>542887</v>
      </c>
      <c r="F2238">
        <v>520.02890000000002</v>
      </c>
    </row>
    <row r="2239" spans="1:6" x14ac:dyDescent="0.25">
      <c r="A2239" t="s">
        <v>98</v>
      </c>
      <c r="B2239" s="6">
        <v>45531</v>
      </c>
      <c r="C2239" t="s">
        <v>201</v>
      </c>
      <c r="D2239" t="s">
        <v>180</v>
      </c>
      <c r="E2239">
        <v>544810</v>
      </c>
      <c r="F2239">
        <v>519.03279999999995</v>
      </c>
    </row>
    <row r="2240" spans="1:6" x14ac:dyDescent="0.25">
      <c r="A2240" t="s">
        <v>98</v>
      </c>
      <c r="B2240" s="6">
        <v>45531</v>
      </c>
      <c r="C2240" t="s">
        <v>201</v>
      </c>
      <c r="D2240" t="s">
        <v>180</v>
      </c>
      <c r="E2240">
        <v>546901</v>
      </c>
      <c r="F2240">
        <v>517.89059999999995</v>
      </c>
    </row>
    <row r="2241" spans="1:6" x14ac:dyDescent="0.25">
      <c r="A2241" t="s">
        <v>98</v>
      </c>
      <c r="B2241" s="6">
        <v>45531</v>
      </c>
      <c r="C2241" t="s">
        <v>201</v>
      </c>
      <c r="D2241" t="s">
        <v>180</v>
      </c>
      <c r="E2241">
        <v>547446</v>
      </c>
      <c r="F2241">
        <v>516.74570000000006</v>
      </c>
    </row>
    <row r="2242" spans="1:6" x14ac:dyDescent="0.25">
      <c r="A2242" t="s">
        <v>98</v>
      </c>
      <c r="B2242" s="6">
        <v>45530</v>
      </c>
      <c r="C2242" t="s">
        <v>201</v>
      </c>
      <c r="D2242" t="s">
        <v>180</v>
      </c>
      <c r="E2242">
        <v>2657</v>
      </c>
      <c r="F2242">
        <v>526.96680000000003</v>
      </c>
    </row>
    <row r="2243" spans="1:6" x14ac:dyDescent="0.25">
      <c r="A2243" t="s">
        <v>98</v>
      </c>
      <c r="B2243" s="6">
        <v>45530</v>
      </c>
      <c r="C2243" t="s">
        <v>201</v>
      </c>
      <c r="D2243" t="s">
        <v>180</v>
      </c>
      <c r="E2243">
        <v>2713</v>
      </c>
      <c r="F2243">
        <v>525.96770000000004</v>
      </c>
    </row>
    <row r="2244" spans="1:6" x14ac:dyDescent="0.25">
      <c r="A2244" t="s">
        <v>98</v>
      </c>
      <c r="B2244" s="6">
        <v>45530</v>
      </c>
      <c r="C2244" t="s">
        <v>201</v>
      </c>
      <c r="D2244" t="s">
        <v>180</v>
      </c>
      <c r="E2244">
        <v>3121</v>
      </c>
      <c r="F2244">
        <v>524.96109999999999</v>
      </c>
    </row>
    <row r="2245" spans="1:6" x14ac:dyDescent="0.25">
      <c r="A2245" t="s">
        <v>98</v>
      </c>
      <c r="B2245" s="6">
        <v>45530</v>
      </c>
      <c r="C2245" t="s">
        <v>201</v>
      </c>
      <c r="D2245" t="s">
        <v>180</v>
      </c>
      <c r="E2245">
        <v>3373</v>
      </c>
      <c r="F2245">
        <v>522.35170000000005</v>
      </c>
    </row>
    <row r="2246" spans="1:6" x14ac:dyDescent="0.25">
      <c r="A2246" t="s">
        <v>98</v>
      </c>
      <c r="B2246" s="6">
        <v>45530</v>
      </c>
      <c r="C2246" t="s">
        <v>201</v>
      </c>
      <c r="D2246" t="s">
        <v>180</v>
      </c>
      <c r="E2246">
        <v>3874</v>
      </c>
      <c r="F2246">
        <v>521.33669999999995</v>
      </c>
    </row>
    <row r="2247" spans="1:6" x14ac:dyDescent="0.25">
      <c r="A2247" t="s">
        <v>98</v>
      </c>
      <c r="B2247" s="6">
        <v>45530</v>
      </c>
      <c r="C2247" t="s">
        <v>201</v>
      </c>
      <c r="D2247" t="s">
        <v>180</v>
      </c>
      <c r="E2247">
        <v>5435</v>
      </c>
      <c r="F2247">
        <v>520.36</v>
      </c>
    </row>
    <row r="2248" spans="1:6" x14ac:dyDescent="0.25">
      <c r="A2248" t="s">
        <v>98</v>
      </c>
      <c r="B2248" s="6">
        <v>45530</v>
      </c>
      <c r="C2248" t="s">
        <v>201</v>
      </c>
      <c r="D2248" t="s">
        <v>180</v>
      </c>
      <c r="E2248">
        <v>8737</v>
      </c>
      <c r="F2248">
        <v>519.34820000000002</v>
      </c>
    </row>
    <row r="2249" spans="1:6" x14ac:dyDescent="0.25">
      <c r="A2249" t="s">
        <v>98</v>
      </c>
      <c r="B2249" s="6">
        <v>45530</v>
      </c>
      <c r="C2249" t="s">
        <v>201</v>
      </c>
      <c r="D2249" t="s">
        <v>180</v>
      </c>
      <c r="E2249">
        <v>10098</v>
      </c>
      <c r="F2249">
        <v>518.00959999999998</v>
      </c>
    </row>
    <row r="2250" spans="1:6" x14ac:dyDescent="0.25">
      <c r="A2250" t="s">
        <v>98</v>
      </c>
      <c r="B2250" s="6">
        <v>45530</v>
      </c>
      <c r="C2250" t="s">
        <v>201</v>
      </c>
      <c r="D2250" t="s">
        <v>180</v>
      </c>
      <c r="E2250">
        <v>10797</v>
      </c>
      <c r="F2250">
        <v>516.46460000000002</v>
      </c>
    </row>
    <row r="2251" spans="1:6" x14ac:dyDescent="0.25">
      <c r="A2251" t="s">
        <v>98</v>
      </c>
      <c r="B2251" s="6">
        <v>45530</v>
      </c>
      <c r="C2251" t="s">
        <v>201</v>
      </c>
      <c r="D2251" t="s">
        <v>180</v>
      </c>
      <c r="E2251">
        <v>11188</v>
      </c>
      <c r="F2251">
        <v>515.38630000000001</v>
      </c>
    </row>
    <row r="2252" spans="1:6" x14ac:dyDescent="0.25">
      <c r="A2252" t="s">
        <v>98</v>
      </c>
      <c r="B2252" s="6">
        <v>45530</v>
      </c>
      <c r="C2252" t="s">
        <v>201</v>
      </c>
      <c r="D2252" t="s">
        <v>180</v>
      </c>
      <c r="E2252">
        <v>547834</v>
      </c>
      <c r="F2252">
        <v>527.6</v>
      </c>
    </row>
    <row r="2253" spans="1:6" x14ac:dyDescent="0.25">
      <c r="A2253" t="s">
        <v>98</v>
      </c>
      <c r="B2253" s="6">
        <v>45530</v>
      </c>
      <c r="C2253" t="s">
        <v>201</v>
      </c>
      <c r="D2253" t="s">
        <v>180</v>
      </c>
      <c r="E2253">
        <v>547918</v>
      </c>
      <c r="F2253">
        <v>526.29470000000003</v>
      </c>
    </row>
    <row r="2254" spans="1:6" x14ac:dyDescent="0.25">
      <c r="A2254" t="s">
        <v>98</v>
      </c>
      <c r="B2254" s="6">
        <v>45530</v>
      </c>
      <c r="C2254" t="s">
        <v>201</v>
      </c>
      <c r="D2254" t="s">
        <v>180</v>
      </c>
      <c r="E2254">
        <v>548214</v>
      </c>
      <c r="F2254">
        <v>525.48789999999997</v>
      </c>
    </row>
    <row r="2255" spans="1:6" x14ac:dyDescent="0.25">
      <c r="A2255" t="s">
        <v>98</v>
      </c>
      <c r="B2255" s="6">
        <v>45530</v>
      </c>
      <c r="C2255" t="s">
        <v>201</v>
      </c>
      <c r="D2255" t="s">
        <v>180</v>
      </c>
      <c r="E2255">
        <v>548526</v>
      </c>
      <c r="F2255">
        <v>521.50319999999999</v>
      </c>
    </row>
    <row r="2256" spans="1:6" x14ac:dyDescent="0.25">
      <c r="A2256" t="s">
        <v>98</v>
      </c>
      <c r="B2256" s="6">
        <v>45530</v>
      </c>
      <c r="C2256" t="s">
        <v>201</v>
      </c>
      <c r="D2256" t="s">
        <v>180</v>
      </c>
      <c r="E2256">
        <v>550003</v>
      </c>
      <c r="F2256">
        <v>520.55439999999999</v>
      </c>
    </row>
    <row r="2257" spans="1:6" x14ac:dyDescent="0.25">
      <c r="A2257" t="s">
        <v>98</v>
      </c>
      <c r="B2257" s="6">
        <v>45530</v>
      </c>
      <c r="C2257" t="s">
        <v>201</v>
      </c>
      <c r="D2257" t="s">
        <v>180</v>
      </c>
      <c r="E2257">
        <v>552757</v>
      </c>
      <c r="F2257">
        <v>519.71140000000003</v>
      </c>
    </row>
    <row r="2258" spans="1:6" x14ac:dyDescent="0.25">
      <c r="A2258" t="s">
        <v>98</v>
      </c>
      <c r="B2258" s="6">
        <v>45530</v>
      </c>
      <c r="C2258" t="s">
        <v>201</v>
      </c>
      <c r="D2258" t="s">
        <v>180</v>
      </c>
      <c r="E2258">
        <v>554325</v>
      </c>
      <c r="F2258">
        <v>518.5856</v>
      </c>
    </row>
    <row r="2259" spans="1:6" x14ac:dyDescent="0.25">
      <c r="A2259" t="s">
        <v>98</v>
      </c>
      <c r="B2259" s="6">
        <v>45530</v>
      </c>
      <c r="C2259" t="s">
        <v>201</v>
      </c>
      <c r="D2259" t="s">
        <v>180</v>
      </c>
      <c r="E2259">
        <v>555111</v>
      </c>
      <c r="F2259">
        <v>517.36019999999996</v>
      </c>
    </row>
    <row r="2260" spans="1:6" x14ac:dyDescent="0.25">
      <c r="A2260" t="s">
        <v>98</v>
      </c>
      <c r="B2260" s="6">
        <v>45530</v>
      </c>
      <c r="C2260" t="s">
        <v>201</v>
      </c>
      <c r="D2260" t="s">
        <v>180</v>
      </c>
      <c r="E2260">
        <v>555413</v>
      </c>
      <c r="F2260">
        <v>515.89319999999998</v>
      </c>
    </row>
    <row r="2261" spans="1:6" x14ac:dyDescent="0.25">
      <c r="A2261" t="s">
        <v>98</v>
      </c>
      <c r="B2261" s="6">
        <v>45527</v>
      </c>
      <c r="C2261" t="s">
        <v>196</v>
      </c>
      <c r="D2261" t="s">
        <v>180</v>
      </c>
      <c r="E2261">
        <v>14424</v>
      </c>
      <c r="F2261">
        <v>536.91999999999996</v>
      </c>
    </row>
    <row r="2262" spans="1:6" x14ac:dyDescent="0.25">
      <c r="A2262" t="s">
        <v>98</v>
      </c>
      <c r="B2262" s="6">
        <v>45527</v>
      </c>
      <c r="C2262" t="s">
        <v>201</v>
      </c>
      <c r="D2262" t="s">
        <v>180</v>
      </c>
      <c r="E2262">
        <v>11384</v>
      </c>
      <c r="F2262">
        <v>539.39469999999994</v>
      </c>
    </row>
    <row r="2263" spans="1:6" x14ac:dyDescent="0.25">
      <c r="A2263" t="s">
        <v>98</v>
      </c>
      <c r="B2263" s="6">
        <v>45527</v>
      </c>
      <c r="C2263" t="s">
        <v>201</v>
      </c>
      <c r="D2263" t="s">
        <v>180</v>
      </c>
      <c r="E2263">
        <v>11564</v>
      </c>
      <c r="F2263">
        <v>538.43889999999999</v>
      </c>
    </row>
    <row r="2264" spans="1:6" x14ac:dyDescent="0.25">
      <c r="A2264" t="s">
        <v>98</v>
      </c>
      <c r="B2264" s="6">
        <v>45527</v>
      </c>
      <c r="C2264" t="s">
        <v>201</v>
      </c>
      <c r="D2264" t="s">
        <v>180</v>
      </c>
      <c r="E2264">
        <v>11928</v>
      </c>
      <c r="F2264">
        <v>537.05449999999996</v>
      </c>
    </row>
    <row r="2265" spans="1:6" x14ac:dyDescent="0.25">
      <c r="A2265" t="s">
        <v>98</v>
      </c>
      <c r="B2265" s="6">
        <v>45527</v>
      </c>
      <c r="C2265" t="s">
        <v>201</v>
      </c>
      <c r="D2265" t="s">
        <v>180</v>
      </c>
      <c r="E2265">
        <v>12505</v>
      </c>
      <c r="F2265">
        <v>535.99210000000005</v>
      </c>
    </row>
    <row r="2266" spans="1:6" x14ac:dyDescent="0.25">
      <c r="A2266" t="s">
        <v>98</v>
      </c>
      <c r="B2266" s="6">
        <v>45527</v>
      </c>
      <c r="C2266" t="s">
        <v>201</v>
      </c>
      <c r="D2266" t="s">
        <v>180</v>
      </c>
      <c r="E2266">
        <v>13541</v>
      </c>
      <c r="F2266">
        <v>535.04769999999996</v>
      </c>
    </row>
    <row r="2267" spans="1:6" x14ac:dyDescent="0.25">
      <c r="A2267" t="s">
        <v>98</v>
      </c>
      <c r="B2267" s="6">
        <v>45527</v>
      </c>
      <c r="C2267" t="s">
        <v>201</v>
      </c>
      <c r="D2267" t="s">
        <v>180</v>
      </c>
      <c r="E2267">
        <v>14180</v>
      </c>
      <c r="F2267">
        <v>534.08600000000001</v>
      </c>
    </row>
    <row r="2268" spans="1:6" x14ac:dyDescent="0.25">
      <c r="A2268" t="s">
        <v>98</v>
      </c>
      <c r="B2268" s="6">
        <v>45527</v>
      </c>
      <c r="C2268" t="s">
        <v>201</v>
      </c>
      <c r="D2268" t="s">
        <v>180</v>
      </c>
      <c r="E2268">
        <v>14420</v>
      </c>
      <c r="F2268">
        <v>532.50890000000004</v>
      </c>
    </row>
    <row r="2269" spans="1:6" x14ac:dyDescent="0.25">
      <c r="A2269" t="s">
        <v>98</v>
      </c>
      <c r="B2269" s="6">
        <v>45527</v>
      </c>
      <c r="C2269" t="s">
        <v>201</v>
      </c>
      <c r="D2269" t="s">
        <v>180</v>
      </c>
      <c r="E2269">
        <v>14790</v>
      </c>
      <c r="F2269">
        <v>531.35509999999999</v>
      </c>
    </row>
    <row r="2270" spans="1:6" x14ac:dyDescent="0.25">
      <c r="A2270" t="s">
        <v>98</v>
      </c>
      <c r="B2270" s="6">
        <v>45527</v>
      </c>
      <c r="C2270" t="s">
        <v>201</v>
      </c>
      <c r="D2270" t="s">
        <v>180</v>
      </c>
      <c r="E2270">
        <v>15485</v>
      </c>
      <c r="F2270">
        <v>530.48159999999996</v>
      </c>
    </row>
    <row r="2271" spans="1:6" x14ac:dyDescent="0.25">
      <c r="A2271" t="s">
        <v>98</v>
      </c>
      <c r="B2271" s="6">
        <v>45527</v>
      </c>
      <c r="C2271" t="s">
        <v>201</v>
      </c>
      <c r="D2271" t="s">
        <v>180</v>
      </c>
      <c r="E2271">
        <v>15873</v>
      </c>
      <c r="F2271">
        <v>529.34860000000003</v>
      </c>
    </row>
    <row r="2272" spans="1:6" x14ac:dyDescent="0.25">
      <c r="A2272" t="s">
        <v>98</v>
      </c>
      <c r="B2272" s="6">
        <v>45527</v>
      </c>
      <c r="C2272" t="s">
        <v>201</v>
      </c>
      <c r="D2272" t="s">
        <v>180</v>
      </c>
      <c r="E2272">
        <v>16265</v>
      </c>
      <c r="F2272">
        <v>528.2953</v>
      </c>
    </row>
    <row r="2273" spans="1:6" x14ac:dyDescent="0.25">
      <c r="A2273" t="s">
        <v>98</v>
      </c>
      <c r="B2273" s="6">
        <v>45527</v>
      </c>
      <c r="C2273" t="s">
        <v>201</v>
      </c>
      <c r="D2273" t="s">
        <v>180</v>
      </c>
      <c r="E2273">
        <v>17748</v>
      </c>
      <c r="F2273">
        <v>527.51340000000005</v>
      </c>
    </row>
    <row r="2274" spans="1:6" x14ac:dyDescent="0.25">
      <c r="A2274" t="s">
        <v>98</v>
      </c>
      <c r="B2274" s="6">
        <v>45527</v>
      </c>
      <c r="C2274" t="s">
        <v>201</v>
      </c>
      <c r="D2274" t="s">
        <v>180</v>
      </c>
      <c r="E2274">
        <v>19607</v>
      </c>
      <c r="F2274">
        <v>526.19600000000003</v>
      </c>
    </row>
    <row r="2275" spans="1:6" x14ac:dyDescent="0.25">
      <c r="A2275" t="s">
        <v>98</v>
      </c>
      <c r="B2275" s="6">
        <v>45527</v>
      </c>
      <c r="C2275" t="s">
        <v>201</v>
      </c>
      <c r="D2275" t="s">
        <v>180</v>
      </c>
      <c r="E2275">
        <v>555809</v>
      </c>
      <c r="F2275">
        <v>539.33799999999997</v>
      </c>
    </row>
    <row r="2276" spans="1:6" x14ac:dyDescent="0.25">
      <c r="A2276" t="s">
        <v>98</v>
      </c>
      <c r="B2276" s="6">
        <v>45527</v>
      </c>
      <c r="C2276" t="s">
        <v>201</v>
      </c>
      <c r="D2276" t="s">
        <v>180</v>
      </c>
      <c r="E2276">
        <v>555926</v>
      </c>
      <c r="F2276">
        <v>538.08460000000002</v>
      </c>
    </row>
    <row r="2277" spans="1:6" x14ac:dyDescent="0.25">
      <c r="A2277" t="s">
        <v>98</v>
      </c>
      <c r="B2277" s="6">
        <v>45527</v>
      </c>
      <c r="C2277" t="s">
        <v>201</v>
      </c>
      <c r="D2277" t="s">
        <v>180</v>
      </c>
      <c r="E2277">
        <v>556422</v>
      </c>
      <c r="F2277">
        <v>536.94370000000004</v>
      </c>
    </row>
    <row r="2278" spans="1:6" x14ac:dyDescent="0.25">
      <c r="A2278" t="s">
        <v>98</v>
      </c>
      <c r="B2278" s="6">
        <v>45527</v>
      </c>
      <c r="C2278" t="s">
        <v>201</v>
      </c>
      <c r="D2278" t="s">
        <v>180</v>
      </c>
      <c r="E2278">
        <v>556809</v>
      </c>
      <c r="F2278">
        <v>536.0951</v>
      </c>
    </row>
    <row r="2279" spans="1:6" x14ac:dyDescent="0.25">
      <c r="A2279" t="s">
        <v>98</v>
      </c>
      <c r="B2279" s="6">
        <v>45527</v>
      </c>
      <c r="C2279" t="s">
        <v>201</v>
      </c>
      <c r="D2279" t="s">
        <v>180</v>
      </c>
      <c r="E2279">
        <v>557841</v>
      </c>
      <c r="F2279">
        <v>535.11360000000002</v>
      </c>
    </row>
    <row r="2280" spans="1:6" x14ac:dyDescent="0.25">
      <c r="A2280" t="s">
        <v>98</v>
      </c>
      <c r="B2280" s="6">
        <v>45527</v>
      </c>
      <c r="C2280" t="s">
        <v>201</v>
      </c>
      <c r="D2280" t="s">
        <v>180</v>
      </c>
      <c r="E2280">
        <v>558645</v>
      </c>
      <c r="F2280">
        <v>533.005</v>
      </c>
    </row>
    <row r="2281" spans="1:6" x14ac:dyDescent="0.25">
      <c r="A2281" t="s">
        <v>98</v>
      </c>
      <c r="B2281" s="6">
        <v>45527</v>
      </c>
      <c r="C2281" t="s">
        <v>201</v>
      </c>
      <c r="D2281" t="s">
        <v>180</v>
      </c>
      <c r="E2281">
        <v>559005</v>
      </c>
      <c r="F2281">
        <v>531.97699999999998</v>
      </c>
    </row>
    <row r="2282" spans="1:6" x14ac:dyDescent="0.25">
      <c r="A2282" t="s">
        <v>98</v>
      </c>
      <c r="B2282" s="6">
        <v>45527</v>
      </c>
      <c r="C2282" t="s">
        <v>201</v>
      </c>
      <c r="D2282" t="s">
        <v>180</v>
      </c>
      <c r="E2282">
        <v>559386</v>
      </c>
      <c r="F2282">
        <v>530.80319999999995</v>
      </c>
    </row>
    <row r="2283" spans="1:6" x14ac:dyDescent="0.25">
      <c r="A2283" t="s">
        <v>98</v>
      </c>
      <c r="B2283" s="6">
        <v>45527</v>
      </c>
      <c r="C2283" t="s">
        <v>201</v>
      </c>
      <c r="D2283" t="s">
        <v>180</v>
      </c>
      <c r="E2283">
        <v>559900</v>
      </c>
      <c r="F2283">
        <v>529.4212</v>
      </c>
    </row>
    <row r="2284" spans="1:6" x14ac:dyDescent="0.25">
      <c r="A2284" t="s">
        <v>98</v>
      </c>
      <c r="B2284" s="6">
        <v>45527</v>
      </c>
      <c r="C2284" t="s">
        <v>201</v>
      </c>
      <c r="D2284" t="s">
        <v>180</v>
      </c>
      <c r="E2284">
        <v>560430</v>
      </c>
      <c r="F2284">
        <v>528.37339999999995</v>
      </c>
    </row>
    <row r="2285" spans="1:6" x14ac:dyDescent="0.25">
      <c r="A2285" t="s">
        <v>98</v>
      </c>
      <c r="B2285" s="6">
        <v>45527</v>
      </c>
      <c r="C2285" t="s">
        <v>201</v>
      </c>
      <c r="D2285" t="s">
        <v>180</v>
      </c>
      <c r="E2285">
        <v>561715</v>
      </c>
      <c r="F2285">
        <v>527.41250000000002</v>
      </c>
    </row>
    <row r="2286" spans="1:6" x14ac:dyDescent="0.25">
      <c r="A2286" t="s">
        <v>98</v>
      </c>
      <c r="B2286" s="6">
        <v>45527</v>
      </c>
      <c r="C2286" t="s">
        <v>201</v>
      </c>
      <c r="D2286" t="s">
        <v>180</v>
      </c>
      <c r="E2286">
        <v>563545</v>
      </c>
      <c r="F2286">
        <v>525.90440000000001</v>
      </c>
    </row>
    <row r="2287" spans="1:6" x14ac:dyDescent="0.25">
      <c r="A2287" t="s">
        <v>98</v>
      </c>
      <c r="B2287" s="6">
        <v>45526</v>
      </c>
      <c r="C2287" t="s">
        <v>201</v>
      </c>
      <c r="D2287" t="s">
        <v>180</v>
      </c>
      <c r="E2287">
        <v>20111</v>
      </c>
      <c r="F2287">
        <v>543.42999999999995</v>
      </c>
    </row>
    <row r="2288" spans="1:6" x14ac:dyDescent="0.25">
      <c r="A2288" t="s">
        <v>98</v>
      </c>
      <c r="B2288" s="6">
        <v>45526</v>
      </c>
      <c r="C2288" t="s">
        <v>201</v>
      </c>
      <c r="D2288" t="s">
        <v>180</v>
      </c>
      <c r="E2288">
        <v>20207</v>
      </c>
      <c r="F2288">
        <v>542.60080000000005</v>
      </c>
    </row>
    <row r="2289" spans="1:6" x14ac:dyDescent="0.25">
      <c r="A2289" t="s">
        <v>98</v>
      </c>
      <c r="B2289" s="6">
        <v>45526</v>
      </c>
      <c r="C2289" t="s">
        <v>201</v>
      </c>
      <c r="D2289" t="s">
        <v>180</v>
      </c>
      <c r="E2289">
        <v>20577</v>
      </c>
      <c r="F2289">
        <v>541.76850000000002</v>
      </c>
    </row>
    <row r="2290" spans="1:6" x14ac:dyDescent="0.25">
      <c r="A2290" t="s">
        <v>98</v>
      </c>
      <c r="B2290" s="6">
        <v>45526</v>
      </c>
      <c r="C2290" t="s">
        <v>201</v>
      </c>
      <c r="D2290" t="s">
        <v>180</v>
      </c>
      <c r="E2290">
        <v>21080</v>
      </c>
      <c r="F2290">
        <v>540.6422</v>
      </c>
    </row>
    <row r="2291" spans="1:6" x14ac:dyDescent="0.25">
      <c r="A2291" t="s">
        <v>98</v>
      </c>
      <c r="B2291" s="6">
        <v>45526</v>
      </c>
      <c r="C2291" t="s">
        <v>201</v>
      </c>
      <c r="D2291" t="s">
        <v>180</v>
      </c>
      <c r="E2291">
        <v>22034</v>
      </c>
      <c r="F2291">
        <v>539.41679999999997</v>
      </c>
    </row>
    <row r="2292" spans="1:6" x14ac:dyDescent="0.25">
      <c r="A2292" t="s">
        <v>98</v>
      </c>
      <c r="B2292" s="6">
        <v>45526</v>
      </c>
      <c r="C2292" t="s">
        <v>201</v>
      </c>
      <c r="D2292" t="s">
        <v>180</v>
      </c>
      <c r="E2292">
        <v>22411</v>
      </c>
      <c r="F2292">
        <v>538.30799999999999</v>
      </c>
    </row>
    <row r="2293" spans="1:6" x14ac:dyDescent="0.25">
      <c r="A2293" t="s">
        <v>98</v>
      </c>
      <c r="B2293" s="6">
        <v>45526</v>
      </c>
      <c r="C2293" t="s">
        <v>201</v>
      </c>
      <c r="D2293" t="s">
        <v>180</v>
      </c>
      <c r="E2293">
        <v>22695</v>
      </c>
      <c r="F2293">
        <v>537.23739999999998</v>
      </c>
    </row>
    <row r="2294" spans="1:6" x14ac:dyDescent="0.25">
      <c r="A2294" t="s">
        <v>98</v>
      </c>
      <c r="B2294" s="6">
        <v>45526</v>
      </c>
      <c r="C2294" t="s">
        <v>201</v>
      </c>
      <c r="D2294" t="s">
        <v>180</v>
      </c>
      <c r="E2294">
        <v>23493</v>
      </c>
      <c r="F2294">
        <v>536.33900000000006</v>
      </c>
    </row>
    <row r="2295" spans="1:6" x14ac:dyDescent="0.25">
      <c r="A2295" t="s">
        <v>98</v>
      </c>
      <c r="B2295" s="6">
        <v>45526</v>
      </c>
      <c r="C2295" t="s">
        <v>201</v>
      </c>
      <c r="D2295" t="s">
        <v>180</v>
      </c>
      <c r="E2295">
        <v>24483</v>
      </c>
      <c r="F2295">
        <v>535.14160000000004</v>
      </c>
    </row>
    <row r="2296" spans="1:6" x14ac:dyDescent="0.25">
      <c r="A2296" t="s">
        <v>98</v>
      </c>
      <c r="B2296" s="6">
        <v>45526</v>
      </c>
      <c r="C2296" t="s">
        <v>201</v>
      </c>
      <c r="D2296" t="s">
        <v>180</v>
      </c>
      <c r="E2296">
        <v>25353</v>
      </c>
      <c r="F2296">
        <v>534.0027</v>
      </c>
    </row>
    <row r="2297" spans="1:6" x14ac:dyDescent="0.25">
      <c r="A2297" t="s">
        <v>98</v>
      </c>
      <c r="B2297" s="6">
        <v>45526</v>
      </c>
      <c r="C2297" t="s">
        <v>201</v>
      </c>
      <c r="D2297" t="s">
        <v>180</v>
      </c>
      <c r="E2297">
        <v>25660</v>
      </c>
      <c r="F2297">
        <v>533.19849999999997</v>
      </c>
    </row>
    <row r="2298" spans="1:6" x14ac:dyDescent="0.25">
      <c r="A2298" t="s">
        <v>98</v>
      </c>
      <c r="B2298" s="6">
        <v>45526</v>
      </c>
      <c r="C2298" t="s">
        <v>201</v>
      </c>
      <c r="D2298" t="s">
        <v>180</v>
      </c>
      <c r="E2298">
        <v>26123</v>
      </c>
      <c r="F2298">
        <v>531.73490000000004</v>
      </c>
    </row>
    <row r="2299" spans="1:6" x14ac:dyDescent="0.25">
      <c r="A2299" t="s">
        <v>98</v>
      </c>
      <c r="B2299" s="6">
        <v>45526</v>
      </c>
      <c r="C2299" t="s">
        <v>201</v>
      </c>
      <c r="D2299" t="s">
        <v>180</v>
      </c>
      <c r="E2299">
        <v>26583</v>
      </c>
      <c r="F2299">
        <v>531.15369999999996</v>
      </c>
    </row>
    <row r="2300" spans="1:6" x14ac:dyDescent="0.25">
      <c r="A2300" t="s">
        <v>98</v>
      </c>
      <c r="B2300" s="6">
        <v>45526</v>
      </c>
      <c r="C2300" t="s">
        <v>201</v>
      </c>
      <c r="D2300" t="s">
        <v>180</v>
      </c>
      <c r="E2300">
        <v>27736</v>
      </c>
      <c r="F2300">
        <v>529.67859999999996</v>
      </c>
    </row>
    <row r="2301" spans="1:6" x14ac:dyDescent="0.25">
      <c r="A2301" t="s">
        <v>98</v>
      </c>
      <c r="B2301" s="6">
        <v>45526</v>
      </c>
      <c r="C2301" t="s">
        <v>201</v>
      </c>
      <c r="D2301" t="s">
        <v>180</v>
      </c>
      <c r="E2301">
        <v>563784</v>
      </c>
      <c r="F2301">
        <v>543.25</v>
      </c>
    </row>
    <row r="2302" spans="1:6" x14ac:dyDescent="0.25">
      <c r="A2302" t="s">
        <v>98</v>
      </c>
      <c r="B2302" s="6">
        <v>45526</v>
      </c>
      <c r="C2302" t="s">
        <v>201</v>
      </c>
      <c r="D2302" t="s">
        <v>180</v>
      </c>
      <c r="E2302">
        <v>563984</v>
      </c>
      <c r="F2302">
        <v>542.18370000000004</v>
      </c>
    </row>
    <row r="2303" spans="1:6" x14ac:dyDescent="0.25">
      <c r="A2303" t="s">
        <v>98</v>
      </c>
      <c r="B2303" s="6">
        <v>45526</v>
      </c>
      <c r="C2303" t="s">
        <v>201</v>
      </c>
      <c r="D2303" t="s">
        <v>180</v>
      </c>
      <c r="E2303">
        <v>564480</v>
      </c>
      <c r="F2303">
        <v>540.95500000000004</v>
      </c>
    </row>
    <row r="2304" spans="1:6" x14ac:dyDescent="0.25">
      <c r="A2304" t="s">
        <v>98</v>
      </c>
      <c r="B2304" s="6">
        <v>45526</v>
      </c>
      <c r="C2304" t="s">
        <v>201</v>
      </c>
      <c r="D2304" t="s">
        <v>180</v>
      </c>
      <c r="E2304">
        <v>565280</v>
      </c>
      <c r="F2304">
        <v>539.93799999999999</v>
      </c>
    </row>
    <row r="2305" spans="1:6" x14ac:dyDescent="0.25">
      <c r="A2305" t="s">
        <v>98</v>
      </c>
      <c r="B2305" s="6">
        <v>45526</v>
      </c>
      <c r="C2305" t="s">
        <v>201</v>
      </c>
      <c r="D2305" t="s">
        <v>180</v>
      </c>
      <c r="E2305">
        <v>565780</v>
      </c>
      <c r="F2305">
        <v>538.88499999999999</v>
      </c>
    </row>
    <row r="2306" spans="1:6" x14ac:dyDescent="0.25">
      <c r="A2306" t="s">
        <v>98</v>
      </c>
      <c r="B2306" s="6">
        <v>45526</v>
      </c>
      <c r="C2306" t="s">
        <v>201</v>
      </c>
      <c r="D2306" t="s">
        <v>180</v>
      </c>
      <c r="E2306">
        <v>566180</v>
      </c>
      <c r="F2306">
        <v>537.33339999999998</v>
      </c>
    </row>
    <row r="2307" spans="1:6" x14ac:dyDescent="0.25">
      <c r="A2307" t="s">
        <v>98</v>
      </c>
      <c r="B2307" s="6">
        <v>45526</v>
      </c>
      <c r="C2307" t="s">
        <v>201</v>
      </c>
      <c r="D2307" t="s">
        <v>180</v>
      </c>
      <c r="E2307">
        <v>566824</v>
      </c>
      <c r="F2307">
        <v>536.4529</v>
      </c>
    </row>
    <row r="2308" spans="1:6" x14ac:dyDescent="0.25">
      <c r="A2308" t="s">
        <v>98</v>
      </c>
      <c r="B2308" s="6">
        <v>45526</v>
      </c>
      <c r="C2308" t="s">
        <v>201</v>
      </c>
      <c r="D2308" t="s">
        <v>180</v>
      </c>
      <c r="E2308">
        <v>568224</v>
      </c>
      <c r="F2308">
        <v>535.35799999999995</v>
      </c>
    </row>
    <row r="2309" spans="1:6" x14ac:dyDescent="0.25">
      <c r="A2309" t="s">
        <v>98</v>
      </c>
      <c r="B2309" s="6">
        <v>45526</v>
      </c>
      <c r="C2309" t="s">
        <v>201</v>
      </c>
      <c r="D2309" t="s">
        <v>180</v>
      </c>
      <c r="E2309">
        <v>568724</v>
      </c>
      <c r="F2309">
        <v>533.92499999999995</v>
      </c>
    </row>
    <row r="2310" spans="1:6" x14ac:dyDescent="0.25">
      <c r="A2310" t="s">
        <v>98</v>
      </c>
      <c r="B2310" s="6">
        <v>45526</v>
      </c>
      <c r="C2310" t="s">
        <v>201</v>
      </c>
      <c r="D2310" t="s">
        <v>180</v>
      </c>
      <c r="E2310">
        <v>569324</v>
      </c>
      <c r="F2310">
        <v>532.71749999999997</v>
      </c>
    </row>
    <row r="2311" spans="1:6" x14ac:dyDescent="0.25">
      <c r="A2311" t="s">
        <v>98</v>
      </c>
      <c r="B2311" s="6">
        <v>45526</v>
      </c>
      <c r="C2311" t="s">
        <v>201</v>
      </c>
      <c r="D2311" t="s">
        <v>180</v>
      </c>
      <c r="E2311">
        <v>569724</v>
      </c>
      <c r="F2311">
        <v>531.66</v>
      </c>
    </row>
    <row r="2312" spans="1:6" x14ac:dyDescent="0.25">
      <c r="A2312" t="s">
        <v>98</v>
      </c>
      <c r="B2312" s="6">
        <v>45526</v>
      </c>
      <c r="C2312" t="s">
        <v>201</v>
      </c>
      <c r="D2312" t="s">
        <v>180</v>
      </c>
      <c r="E2312">
        <v>570224</v>
      </c>
      <c r="F2312">
        <v>531.01599999999996</v>
      </c>
    </row>
    <row r="2313" spans="1:6" x14ac:dyDescent="0.25">
      <c r="A2313" t="s">
        <v>98</v>
      </c>
      <c r="B2313" s="6">
        <v>45526</v>
      </c>
      <c r="C2313" t="s">
        <v>201</v>
      </c>
      <c r="D2313" t="s">
        <v>180</v>
      </c>
      <c r="E2313">
        <v>570859</v>
      </c>
      <c r="F2313">
        <v>529.87779999999998</v>
      </c>
    </row>
    <row r="2314" spans="1:6" x14ac:dyDescent="0.25">
      <c r="A2314" t="s">
        <v>98</v>
      </c>
      <c r="B2314" s="6">
        <v>45525</v>
      </c>
      <c r="C2314" t="s">
        <v>201</v>
      </c>
      <c r="D2314" t="s">
        <v>180</v>
      </c>
      <c r="E2314">
        <v>28838</v>
      </c>
      <c r="F2314">
        <v>539.03</v>
      </c>
    </row>
    <row r="2315" spans="1:6" x14ac:dyDescent="0.25">
      <c r="A2315" t="s">
        <v>98</v>
      </c>
      <c r="B2315" s="6">
        <v>45525</v>
      </c>
      <c r="C2315" t="s">
        <v>201</v>
      </c>
      <c r="D2315" t="s">
        <v>180</v>
      </c>
      <c r="E2315">
        <v>28938</v>
      </c>
      <c r="F2315">
        <v>537.9624</v>
      </c>
    </row>
    <row r="2316" spans="1:6" x14ac:dyDescent="0.25">
      <c r="A2316" t="s">
        <v>98</v>
      </c>
      <c r="B2316" s="6">
        <v>45525</v>
      </c>
      <c r="C2316" t="s">
        <v>201</v>
      </c>
      <c r="D2316" t="s">
        <v>180</v>
      </c>
      <c r="E2316">
        <v>29573</v>
      </c>
      <c r="F2316">
        <v>536.92920000000004</v>
      </c>
    </row>
    <row r="2317" spans="1:6" x14ac:dyDescent="0.25">
      <c r="A2317" t="s">
        <v>98</v>
      </c>
      <c r="B2317" s="6">
        <v>45525</v>
      </c>
      <c r="C2317" t="s">
        <v>201</v>
      </c>
      <c r="D2317" t="s">
        <v>180</v>
      </c>
      <c r="E2317">
        <v>30021</v>
      </c>
      <c r="F2317">
        <v>535.97159999999997</v>
      </c>
    </row>
    <row r="2318" spans="1:6" x14ac:dyDescent="0.25">
      <c r="A2318" t="s">
        <v>98</v>
      </c>
      <c r="B2318" s="6">
        <v>45525</v>
      </c>
      <c r="C2318" t="s">
        <v>201</v>
      </c>
      <c r="D2318" t="s">
        <v>180</v>
      </c>
      <c r="E2318">
        <v>30622</v>
      </c>
      <c r="F2318">
        <v>535.03679999999997</v>
      </c>
    </row>
    <row r="2319" spans="1:6" x14ac:dyDescent="0.25">
      <c r="A2319" t="s">
        <v>98</v>
      </c>
      <c r="B2319" s="6">
        <v>45525</v>
      </c>
      <c r="C2319" t="s">
        <v>201</v>
      </c>
      <c r="D2319" t="s">
        <v>180</v>
      </c>
      <c r="E2319">
        <v>31725</v>
      </c>
      <c r="F2319">
        <v>533.85400000000004</v>
      </c>
    </row>
    <row r="2320" spans="1:6" x14ac:dyDescent="0.25">
      <c r="A2320" t="s">
        <v>98</v>
      </c>
      <c r="B2320" s="6">
        <v>45525</v>
      </c>
      <c r="C2320" t="s">
        <v>201</v>
      </c>
      <c r="D2320" t="s">
        <v>180</v>
      </c>
      <c r="E2320">
        <v>32717</v>
      </c>
      <c r="F2320">
        <v>532.7133</v>
      </c>
    </row>
    <row r="2321" spans="1:6" x14ac:dyDescent="0.25">
      <c r="A2321" t="s">
        <v>98</v>
      </c>
      <c r="B2321" s="6">
        <v>45525</v>
      </c>
      <c r="C2321" t="s">
        <v>201</v>
      </c>
      <c r="D2321" t="s">
        <v>180</v>
      </c>
      <c r="E2321">
        <v>34828</v>
      </c>
      <c r="F2321">
        <v>531.68740000000003</v>
      </c>
    </row>
    <row r="2322" spans="1:6" x14ac:dyDescent="0.25">
      <c r="A2322" t="s">
        <v>98</v>
      </c>
      <c r="B2322" s="6">
        <v>45525</v>
      </c>
      <c r="C2322" t="s">
        <v>201</v>
      </c>
      <c r="D2322" t="s">
        <v>180</v>
      </c>
      <c r="E2322">
        <v>35758</v>
      </c>
      <c r="F2322">
        <v>530.64589999999998</v>
      </c>
    </row>
    <row r="2323" spans="1:6" x14ac:dyDescent="0.25">
      <c r="A2323" t="s">
        <v>98</v>
      </c>
      <c r="B2323" s="6">
        <v>45525</v>
      </c>
      <c r="C2323" t="s">
        <v>201</v>
      </c>
      <c r="D2323" t="s">
        <v>180</v>
      </c>
      <c r="E2323">
        <v>36446</v>
      </c>
      <c r="F2323">
        <v>529.05309999999997</v>
      </c>
    </row>
    <row r="2324" spans="1:6" x14ac:dyDescent="0.25">
      <c r="A2324" t="s">
        <v>98</v>
      </c>
      <c r="B2324" s="6">
        <v>45525</v>
      </c>
      <c r="C2324" t="s">
        <v>201</v>
      </c>
      <c r="D2324" t="s">
        <v>180</v>
      </c>
      <c r="E2324">
        <v>36726</v>
      </c>
      <c r="F2324">
        <v>528.29899999999998</v>
      </c>
    </row>
    <row r="2325" spans="1:6" x14ac:dyDescent="0.25">
      <c r="A2325" t="s">
        <v>98</v>
      </c>
      <c r="B2325" s="6">
        <v>45525</v>
      </c>
      <c r="C2325" t="s">
        <v>201</v>
      </c>
      <c r="D2325" t="s">
        <v>180</v>
      </c>
      <c r="E2325">
        <v>571759</v>
      </c>
      <c r="F2325">
        <v>538.995</v>
      </c>
    </row>
    <row r="2326" spans="1:6" x14ac:dyDescent="0.25">
      <c r="A2326" t="s">
        <v>98</v>
      </c>
      <c r="B2326" s="6">
        <v>45525</v>
      </c>
      <c r="C2326" t="s">
        <v>201</v>
      </c>
      <c r="D2326" t="s">
        <v>180</v>
      </c>
      <c r="E2326">
        <v>571771</v>
      </c>
      <c r="F2326">
        <v>538.33820000000003</v>
      </c>
    </row>
    <row r="2327" spans="1:6" x14ac:dyDescent="0.25">
      <c r="A2327" t="s">
        <v>98</v>
      </c>
      <c r="B2327" s="6">
        <v>45525</v>
      </c>
      <c r="C2327" t="s">
        <v>201</v>
      </c>
      <c r="D2327" t="s">
        <v>180</v>
      </c>
      <c r="E2327">
        <v>572228</v>
      </c>
      <c r="F2327">
        <v>537.15409999999997</v>
      </c>
    </row>
    <row r="2328" spans="1:6" x14ac:dyDescent="0.25">
      <c r="A2328" t="s">
        <v>98</v>
      </c>
      <c r="B2328" s="6">
        <v>45525</v>
      </c>
      <c r="C2328" t="s">
        <v>201</v>
      </c>
      <c r="D2328" t="s">
        <v>180</v>
      </c>
      <c r="E2328">
        <v>572879</v>
      </c>
      <c r="F2328">
        <v>536.19709999999998</v>
      </c>
    </row>
    <row r="2329" spans="1:6" x14ac:dyDescent="0.25">
      <c r="A2329" t="s">
        <v>98</v>
      </c>
      <c r="B2329" s="6">
        <v>45525</v>
      </c>
      <c r="C2329" t="s">
        <v>201</v>
      </c>
      <c r="D2329" t="s">
        <v>180</v>
      </c>
      <c r="E2329">
        <v>573471</v>
      </c>
      <c r="F2329">
        <v>535.21119999999996</v>
      </c>
    </row>
    <row r="2330" spans="1:6" x14ac:dyDescent="0.25">
      <c r="A2330" t="s">
        <v>98</v>
      </c>
      <c r="B2330" s="6">
        <v>45525</v>
      </c>
      <c r="C2330" t="s">
        <v>201</v>
      </c>
      <c r="D2330" t="s">
        <v>180</v>
      </c>
      <c r="E2330">
        <v>574302</v>
      </c>
      <c r="F2330">
        <v>533.8252</v>
      </c>
    </row>
    <row r="2331" spans="1:6" x14ac:dyDescent="0.25">
      <c r="A2331" t="s">
        <v>98</v>
      </c>
      <c r="B2331" s="6">
        <v>45525</v>
      </c>
      <c r="C2331" t="s">
        <v>201</v>
      </c>
      <c r="D2331" t="s">
        <v>180</v>
      </c>
      <c r="E2331">
        <v>575265</v>
      </c>
      <c r="F2331">
        <v>532.84580000000005</v>
      </c>
    </row>
    <row r="2332" spans="1:6" x14ac:dyDescent="0.25">
      <c r="A2332" t="s">
        <v>98</v>
      </c>
      <c r="B2332" s="6">
        <v>45525</v>
      </c>
      <c r="C2332" t="s">
        <v>201</v>
      </c>
      <c r="D2332" t="s">
        <v>180</v>
      </c>
      <c r="E2332">
        <v>576896</v>
      </c>
      <c r="F2332">
        <v>531.95299999999997</v>
      </c>
    </row>
    <row r="2333" spans="1:6" x14ac:dyDescent="0.25">
      <c r="A2333" t="s">
        <v>98</v>
      </c>
      <c r="B2333" s="6">
        <v>45525</v>
      </c>
      <c r="C2333" t="s">
        <v>201</v>
      </c>
      <c r="D2333" t="s">
        <v>180</v>
      </c>
      <c r="E2333">
        <v>578080</v>
      </c>
      <c r="F2333">
        <v>530.56320000000005</v>
      </c>
    </row>
    <row r="2334" spans="1:6" x14ac:dyDescent="0.25">
      <c r="A2334" t="s">
        <v>98</v>
      </c>
      <c r="B2334" s="6">
        <v>45525</v>
      </c>
      <c r="C2334" t="s">
        <v>201</v>
      </c>
      <c r="D2334" t="s">
        <v>180</v>
      </c>
      <c r="E2334">
        <v>578722</v>
      </c>
      <c r="F2334">
        <v>528.8623</v>
      </c>
    </row>
    <row r="2335" spans="1:6" x14ac:dyDescent="0.25">
      <c r="A2335" t="s">
        <v>98</v>
      </c>
      <c r="B2335" s="6">
        <v>45525</v>
      </c>
      <c r="C2335" t="s">
        <v>201</v>
      </c>
      <c r="D2335" t="s">
        <v>180</v>
      </c>
      <c r="E2335">
        <v>579290</v>
      </c>
      <c r="F2335">
        <v>527.89729999999997</v>
      </c>
    </row>
    <row r="2336" spans="1:6" x14ac:dyDescent="0.25">
      <c r="A2336" t="s">
        <v>98</v>
      </c>
      <c r="B2336" s="6">
        <v>45524</v>
      </c>
      <c r="C2336" t="s">
        <v>195</v>
      </c>
      <c r="D2336" t="s">
        <v>180</v>
      </c>
      <c r="E2336">
        <v>40532</v>
      </c>
      <c r="F2336">
        <v>528.38</v>
      </c>
    </row>
    <row r="2337" spans="1:6" x14ac:dyDescent="0.25">
      <c r="A2337" t="s">
        <v>98</v>
      </c>
      <c r="B2337" s="6">
        <v>45524</v>
      </c>
      <c r="C2337" t="s">
        <v>199</v>
      </c>
      <c r="D2337" t="s">
        <v>74</v>
      </c>
      <c r="E2337">
        <v>3247</v>
      </c>
      <c r="F2337">
        <v>0</v>
      </c>
    </row>
    <row r="2338" spans="1:6" x14ac:dyDescent="0.25">
      <c r="A2338" t="s">
        <v>98</v>
      </c>
      <c r="B2338" s="6">
        <v>45524</v>
      </c>
      <c r="C2338" t="s">
        <v>199</v>
      </c>
      <c r="D2338" t="s">
        <v>74</v>
      </c>
      <c r="E2338">
        <v>3532</v>
      </c>
      <c r="F2338">
        <v>0</v>
      </c>
    </row>
    <row r="2339" spans="1:6" x14ac:dyDescent="0.25">
      <c r="A2339" t="s">
        <v>98</v>
      </c>
      <c r="B2339" s="6">
        <v>45524</v>
      </c>
      <c r="C2339" t="s">
        <v>201</v>
      </c>
      <c r="D2339" t="s">
        <v>180</v>
      </c>
      <c r="E2339">
        <v>37565</v>
      </c>
      <c r="F2339">
        <v>530.71500000000003</v>
      </c>
    </row>
    <row r="2340" spans="1:6" x14ac:dyDescent="0.25">
      <c r="A2340" t="s">
        <v>98</v>
      </c>
      <c r="B2340" s="6">
        <v>45524</v>
      </c>
      <c r="C2340" t="s">
        <v>201</v>
      </c>
      <c r="D2340" t="s">
        <v>180</v>
      </c>
      <c r="E2340">
        <v>37757</v>
      </c>
      <c r="F2340">
        <v>529.87779999999998</v>
      </c>
    </row>
    <row r="2341" spans="1:6" x14ac:dyDescent="0.25">
      <c r="A2341" t="s">
        <v>98</v>
      </c>
      <c r="B2341" s="6">
        <v>45524</v>
      </c>
      <c r="C2341" t="s">
        <v>201</v>
      </c>
      <c r="D2341" t="s">
        <v>180</v>
      </c>
      <c r="E2341">
        <v>38763</v>
      </c>
      <c r="F2341">
        <v>528.95569999999998</v>
      </c>
    </row>
    <row r="2342" spans="1:6" x14ac:dyDescent="0.25">
      <c r="A2342" t="s">
        <v>98</v>
      </c>
      <c r="B2342" s="6">
        <v>45524</v>
      </c>
      <c r="C2342" t="s">
        <v>201</v>
      </c>
      <c r="D2342" t="s">
        <v>180</v>
      </c>
      <c r="E2342">
        <v>41234</v>
      </c>
      <c r="F2342">
        <v>527.8759</v>
      </c>
    </row>
    <row r="2343" spans="1:6" x14ac:dyDescent="0.25">
      <c r="A2343" t="s">
        <v>98</v>
      </c>
      <c r="B2343" s="6">
        <v>45524</v>
      </c>
      <c r="C2343" t="s">
        <v>201</v>
      </c>
      <c r="D2343" t="s">
        <v>180</v>
      </c>
      <c r="E2343">
        <v>43462</v>
      </c>
      <c r="F2343">
        <v>526.97360000000003</v>
      </c>
    </row>
    <row r="2344" spans="1:6" x14ac:dyDescent="0.25">
      <c r="A2344" t="s">
        <v>98</v>
      </c>
      <c r="B2344" s="6">
        <v>45524</v>
      </c>
      <c r="C2344" t="s">
        <v>201</v>
      </c>
      <c r="D2344" t="s">
        <v>180</v>
      </c>
      <c r="E2344">
        <v>579734</v>
      </c>
      <c r="F2344">
        <v>530.3383</v>
      </c>
    </row>
    <row r="2345" spans="1:6" x14ac:dyDescent="0.25">
      <c r="A2345" t="s">
        <v>98</v>
      </c>
      <c r="B2345" s="6">
        <v>45524</v>
      </c>
      <c r="C2345" t="s">
        <v>201</v>
      </c>
      <c r="D2345" t="s">
        <v>180</v>
      </c>
      <c r="E2345">
        <v>579980</v>
      </c>
      <c r="F2345">
        <v>529.73929999999996</v>
      </c>
    </row>
    <row r="2346" spans="1:6" x14ac:dyDescent="0.25">
      <c r="A2346" t="s">
        <v>98</v>
      </c>
      <c r="B2346" s="6">
        <v>45524</v>
      </c>
      <c r="C2346" t="s">
        <v>201</v>
      </c>
      <c r="D2346" t="s">
        <v>180</v>
      </c>
      <c r="E2346">
        <v>581114</v>
      </c>
      <c r="F2346">
        <v>528.6771</v>
      </c>
    </row>
    <row r="2347" spans="1:6" x14ac:dyDescent="0.25">
      <c r="A2347" t="s">
        <v>98</v>
      </c>
      <c r="B2347" s="6">
        <v>45524</v>
      </c>
      <c r="C2347" t="s">
        <v>201</v>
      </c>
      <c r="D2347" t="s">
        <v>180</v>
      </c>
      <c r="E2347">
        <v>583520</v>
      </c>
      <c r="F2347">
        <v>527.59010000000001</v>
      </c>
    </row>
    <row r="2348" spans="1:6" x14ac:dyDescent="0.25">
      <c r="A2348" t="s">
        <v>98</v>
      </c>
      <c r="B2348" s="6">
        <v>45524</v>
      </c>
      <c r="C2348" t="s">
        <v>201</v>
      </c>
      <c r="D2348" t="s">
        <v>180</v>
      </c>
      <c r="E2348">
        <v>585989</v>
      </c>
      <c r="F2348">
        <v>526.79570000000001</v>
      </c>
    </row>
    <row r="2349" spans="1:6" x14ac:dyDescent="0.25">
      <c r="A2349" t="s">
        <v>98</v>
      </c>
      <c r="B2349" s="6">
        <v>45523</v>
      </c>
      <c r="C2349" t="s">
        <v>201</v>
      </c>
      <c r="D2349" t="s">
        <v>180</v>
      </c>
      <c r="E2349">
        <v>46292</v>
      </c>
      <c r="F2349">
        <v>531</v>
      </c>
    </row>
    <row r="2350" spans="1:6" x14ac:dyDescent="0.25">
      <c r="A2350" t="s">
        <v>98</v>
      </c>
      <c r="B2350" s="6">
        <v>45523</v>
      </c>
      <c r="C2350" t="s">
        <v>201</v>
      </c>
      <c r="D2350" t="s">
        <v>180</v>
      </c>
      <c r="E2350">
        <v>46388</v>
      </c>
      <c r="F2350">
        <v>529.8587</v>
      </c>
    </row>
    <row r="2351" spans="1:6" x14ac:dyDescent="0.25">
      <c r="A2351" t="s">
        <v>98</v>
      </c>
      <c r="B2351" s="6">
        <v>45523</v>
      </c>
      <c r="C2351" t="s">
        <v>201</v>
      </c>
      <c r="D2351" t="s">
        <v>180</v>
      </c>
      <c r="E2351">
        <v>46748</v>
      </c>
      <c r="F2351">
        <v>529.15139999999997</v>
      </c>
    </row>
    <row r="2352" spans="1:6" x14ac:dyDescent="0.25">
      <c r="A2352" t="s">
        <v>98</v>
      </c>
      <c r="B2352" s="6">
        <v>45523</v>
      </c>
      <c r="C2352" t="s">
        <v>201</v>
      </c>
      <c r="D2352" t="s">
        <v>180</v>
      </c>
      <c r="E2352">
        <v>47930</v>
      </c>
      <c r="F2352">
        <v>527.84360000000004</v>
      </c>
    </row>
    <row r="2353" spans="1:6" x14ac:dyDescent="0.25">
      <c r="A2353" t="s">
        <v>98</v>
      </c>
      <c r="B2353" s="6">
        <v>45523</v>
      </c>
      <c r="C2353" t="s">
        <v>201</v>
      </c>
      <c r="D2353" t="s">
        <v>180</v>
      </c>
      <c r="E2353">
        <v>48959</v>
      </c>
      <c r="F2353">
        <v>526.81299999999999</v>
      </c>
    </row>
    <row r="2354" spans="1:6" x14ac:dyDescent="0.25">
      <c r="A2354" t="s">
        <v>98</v>
      </c>
      <c r="B2354" s="6">
        <v>45523</v>
      </c>
      <c r="C2354" t="s">
        <v>201</v>
      </c>
      <c r="D2354" t="s">
        <v>180</v>
      </c>
      <c r="E2354">
        <v>52094</v>
      </c>
      <c r="F2354">
        <v>525.94880000000001</v>
      </c>
    </row>
    <row r="2355" spans="1:6" x14ac:dyDescent="0.25">
      <c r="A2355" t="s">
        <v>98</v>
      </c>
      <c r="B2355" s="6">
        <v>45523</v>
      </c>
      <c r="C2355" t="s">
        <v>201</v>
      </c>
      <c r="D2355" t="s">
        <v>180</v>
      </c>
      <c r="E2355">
        <v>53720</v>
      </c>
      <c r="F2355">
        <v>524.94479999999999</v>
      </c>
    </row>
    <row r="2356" spans="1:6" x14ac:dyDescent="0.25">
      <c r="A2356" t="s">
        <v>98</v>
      </c>
      <c r="B2356" s="6">
        <v>45523</v>
      </c>
      <c r="C2356" t="s">
        <v>201</v>
      </c>
      <c r="D2356" t="s">
        <v>180</v>
      </c>
      <c r="E2356">
        <v>54833</v>
      </c>
      <c r="F2356">
        <v>523.55939999999998</v>
      </c>
    </row>
    <row r="2357" spans="1:6" x14ac:dyDescent="0.25">
      <c r="A2357" t="s">
        <v>98</v>
      </c>
      <c r="B2357" s="6">
        <v>45523</v>
      </c>
      <c r="C2357" t="s">
        <v>201</v>
      </c>
      <c r="D2357" t="s">
        <v>180</v>
      </c>
      <c r="E2357">
        <v>587709</v>
      </c>
      <c r="F2357">
        <v>531.23569999999995</v>
      </c>
    </row>
    <row r="2358" spans="1:6" x14ac:dyDescent="0.25">
      <c r="A2358" t="s">
        <v>98</v>
      </c>
      <c r="B2358" s="6">
        <v>45523</v>
      </c>
      <c r="C2358" t="s">
        <v>201</v>
      </c>
      <c r="D2358" t="s">
        <v>180</v>
      </c>
      <c r="E2358">
        <v>587788</v>
      </c>
      <c r="F2358">
        <v>529.58510000000001</v>
      </c>
    </row>
    <row r="2359" spans="1:6" x14ac:dyDescent="0.25">
      <c r="A2359" t="s">
        <v>98</v>
      </c>
      <c r="B2359" s="6">
        <v>45523</v>
      </c>
      <c r="C2359" t="s">
        <v>201</v>
      </c>
      <c r="D2359" t="s">
        <v>180</v>
      </c>
      <c r="E2359">
        <v>588280</v>
      </c>
      <c r="F2359">
        <v>528.80169999999998</v>
      </c>
    </row>
    <row r="2360" spans="1:6" x14ac:dyDescent="0.25">
      <c r="A2360" t="s">
        <v>98</v>
      </c>
      <c r="B2360" s="6">
        <v>45523</v>
      </c>
      <c r="C2360" t="s">
        <v>201</v>
      </c>
      <c r="D2360" t="s">
        <v>180</v>
      </c>
      <c r="E2360">
        <v>589395</v>
      </c>
      <c r="F2360">
        <v>527.55380000000002</v>
      </c>
    </row>
    <row r="2361" spans="1:6" x14ac:dyDescent="0.25">
      <c r="A2361" t="s">
        <v>98</v>
      </c>
      <c r="B2361" s="6">
        <v>45523</v>
      </c>
      <c r="C2361" t="s">
        <v>201</v>
      </c>
      <c r="D2361" t="s">
        <v>180</v>
      </c>
      <c r="E2361">
        <v>590775</v>
      </c>
      <c r="F2361">
        <v>526.59040000000005</v>
      </c>
    </row>
    <row r="2362" spans="1:6" x14ac:dyDescent="0.25">
      <c r="A2362" t="s">
        <v>98</v>
      </c>
      <c r="B2362" s="6">
        <v>45523</v>
      </c>
      <c r="C2362" t="s">
        <v>201</v>
      </c>
      <c r="D2362" t="s">
        <v>180</v>
      </c>
      <c r="E2362">
        <v>593690</v>
      </c>
      <c r="F2362">
        <v>525.64679999999998</v>
      </c>
    </row>
    <row r="2363" spans="1:6" x14ac:dyDescent="0.25">
      <c r="A2363" t="s">
        <v>98</v>
      </c>
      <c r="B2363" s="6">
        <v>45523</v>
      </c>
      <c r="C2363" t="s">
        <v>201</v>
      </c>
      <c r="D2363" t="s">
        <v>180</v>
      </c>
      <c r="E2363">
        <v>594849</v>
      </c>
      <c r="F2363">
        <v>524.67639999999994</v>
      </c>
    </row>
    <row r="2364" spans="1:6" x14ac:dyDescent="0.25">
      <c r="A2364" t="s">
        <v>98</v>
      </c>
      <c r="B2364" s="6">
        <v>45523</v>
      </c>
      <c r="C2364" t="s">
        <v>201</v>
      </c>
      <c r="D2364" t="s">
        <v>180</v>
      </c>
      <c r="E2364">
        <v>595493</v>
      </c>
      <c r="F2364">
        <v>523.05010000000004</v>
      </c>
    </row>
    <row r="2365" spans="1:6" x14ac:dyDescent="0.25">
      <c r="A2365" t="s">
        <v>98</v>
      </c>
      <c r="B2365" s="6">
        <v>45520</v>
      </c>
      <c r="C2365" t="s">
        <v>195</v>
      </c>
      <c r="D2365" t="s">
        <v>180</v>
      </c>
      <c r="E2365">
        <v>41437</v>
      </c>
      <c r="F2365">
        <v>532.60559999999998</v>
      </c>
    </row>
    <row r="2366" spans="1:6" x14ac:dyDescent="0.25">
      <c r="A2366" t="s">
        <v>98</v>
      </c>
      <c r="B2366" s="6">
        <v>45520</v>
      </c>
      <c r="C2366" t="s">
        <v>195</v>
      </c>
      <c r="D2366" t="s">
        <v>180</v>
      </c>
      <c r="E2366">
        <v>41938</v>
      </c>
      <c r="F2366">
        <v>531.71479999999997</v>
      </c>
    </row>
    <row r="2367" spans="1:6" x14ac:dyDescent="0.25">
      <c r="A2367" t="s">
        <v>98</v>
      </c>
      <c r="B2367" s="6">
        <v>45520</v>
      </c>
      <c r="C2367" t="s">
        <v>197</v>
      </c>
      <c r="D2367" t="s">
        <v>74</v>
      </c>
      <c r="E2367">
        <v>66329</v>
      </c>
      <c r="F2367">
        <v>0</v>
      </c>
    </row>
    <row r="2368" spans="1:6" x14ac:dyDescent="0.25">
      <c r="A2368" t="s">
        <v>98</v>
      </c>
      <c r="B2368" s="6">
        <v>45520</v>
      </c>
      <c r="C2368" t="s">
        <v>197</v>
      </c>
      <c r="D2368" t="s">
        <v>180</v>
      </c>
      <c r="E2368">
        <v>3424</v>
      </c>
      <c r="F2368">
        <v>532.85249999999996</v>
      </c>
    </row>
    <row r="2369" spans="1:6" x14ac:dyDescent="0.25">
      <c r="A2369" t="s">
        <v>98</v>
      </c>
      <c r="B2369" s="6">
        <v>45520</v>
      </c>
      <c r="C2369" t="s">
        <v>197</v>
      </c>
      <c r="D2369" t="s">
        <v>180</v>
      </c>
      <c r="E2369">
        <v>5739</v>
      </c>
      <c r="F2369">
        <v>532.03099999999995</v>
      </c>
    </row>
    <row r="2370" spans="1:6" x14ac:dyDescent="0.25">
      <c r="A2370" t="s">
        <v>98</v>
      </c>
      <c r="B2370" s="6">
        <v>45520</v>
      </c>
      <c r="C2370" t="s">
        <v>197</v>
      </c>
      <c r="D2370" t="s">
        <v>180</v>
      </c>
      <c r="E2370">
        <v>10820</v>
      </c>
      <c r="F2370">
        <v>531.15909999999997</v>
      </c>
    </row>
    <row r="2371" spans="1:6" x14ac:dyDescent="0.25">
      <c r="A2371" t="s">
        <v>98</v>
      </c>
      <c r="B2371" s="6">
        <v>45520</v>
      </c>
      <c r="C2371" t="s">
        <v>197</v>
      </c>
      <c r="D2371" t="s">
        <v>180</v>
      </c>
      <c r="E2371">
        <v>13031</v>
      </c>
      <c r="F2371">
        <v>530.06100000000004</v>
      </c>
    </row>
    <row r="2372" spans="1:6" x14ac:dyDescent="0.25">
      <c r="A2372" t="s">
        <v>98</v>
      </c>
      <c r="B2372" s="6">
        <v>45520</v>
      </c>
      <c r="C2372" t="s">
        <v>197</v>
      </c>
      <c r="D2372" t="s">
        <v>180</v>
      </c>
      <c r="E2372">
        <v>15180</v>
      </c>
      <c r="F2372">
        <v>528.91899999999998</v>
      </c>
    </row>
    <row r="2373" spans="1:6" x14ac:dyDescent="0.25">
      <c r="A2373" t="s">
        <v>98</v>
      </c>
      <c r="B2373" s="6">
        <v>45520</v>
      </c>
      <c r="C2373" t="s">
        <v>210</v>
      </c>
      <c r="D2373" t="s">
        <v>180</v>
      </c>
      <c r="E2373">
        <v>0</v>
      </c>
      <c r="F2373">
        <v>533.5</v>
      </c>
    </row>
    <row r="2374" spans="1:6" x14ac:dyDescent="0.25">
      <c r="A2374" t="s">
        <v>98</v>
      </c>
      <c r="B2374" s="6">
        <v>45520</v>
      </c>
      <c r="C2374" t="s">
        <v>210</v>
      </c>
      <c r="D2374" t="s">
        <v>180</v>
      </c>
      <c r="E2374">
        <v>100</v>
      </c>
      <c r="F2374">
        <v>532.78610000000003</v>
      </c>
    </row>
    <row r="2375" spans="1:6" x14ac:dyDescent="0.25">
      <c r="A2375" t="s">
        <v>98</v>
      </c>
      <c r="B2375" s="6">
        <v>45520</v>
      </c>
      <c r="C2375" t="s">
        <v>210</v>
      </c>
      <c r="D2375" t="s">
        <v>180</v>
      </c>
      <c r="E2375">
        <v>3012</v>
      </c>
      <c r="F2375">
        <v>531.91750000000002</v>
      </c>
    </row>
    <row r="2376" spans="1:6" x14ac:dyDescent="0.25">
      <c r="A2376" t="s">
        <v>98</v>
      </c>
      <c r="B2376" s="6">
        <v>45520</v>
      </c>
      <c r="C2376" t="s">
        <v>210</v>
      </c>
      <c r="D2376" t="s">
        <v>180</v>
      </c>
      <c r="E2376">
        <v>7759</v>
      </c>
      <c r="F2376">
        <v>530.98519999999996</v>
      </c>
    </row>
    <row r="2377" spans="1:6" x14ac:dyDescent="0.25">
      <c r="A2377" t="s">
        <v>98</v>
      </c>
      <c r="B2377" s="6">
        <v>45520</v>
      </c>
      <c r="C2377" t="s">
        <v>210</v>
      </c>
      <c r="D2377" t="s">
        <v>180</v>
      </c>
      <c r="E2377">
        <v>9894</v>
      </c>
      <c r="F2377">
        <v>529.97649999999999</v>
      </c>
    </row>
    <row r="2378" spans="1:6" x14ac:dyDescent="0.25">
      <c r="A2378" t="s">
        <v>98</v>
      </c>
      <c r="B2378" s="6">
        <v>45520</v>
      </c>
      <c r="C2378" t="s">
        <v>210</v>
      </c>
      <c r="D2378" t="s">
        <v>180</v>
      </c>
      <c r="E2378">
        <v>11983</v>
      </c>
      <c r="F2378">
        <v>528.89</v>
      </c>
    </row>
    <row r="2379" spans="1:6" x14ac:dyDescent="0.25">
      <c r="A2379" t="s">
        <v>98</v>
      </c>
      <c r="B2379" s="6">
        <v>45520</v>
      </c>
      <c r="C2379" t="s">
        <v>196</v>
      </c>
      <c r="D2379" t="s">
        <v>180</v>
      </c>
      <c r="E2379">
        <v>14837</v>
      </c>
      <c r="F2379">
        <v>531.4</v>
      </c>
    </row>
    <row r="2380" spans="1:6" x14ac:dyDescent="0.25">
      <c r="A2380" t="s">
        <v>98</v>
      </c>
      <c r="B2380" s="6">
        <v>45520</v>
      </c>
      <c r="C2380" t="s">
        <v>201</v>
      </c>
      <c r="D2380" t="s">
        <v>180</v>
      </c>
      <c r="E2380">
        <v>55019</v>
      </c>
      <c r="F2380">
        <v>532.8877</v>
      </c>
    </row>
    <row r="2381" spans="1:6" x14ac:dyDescent="0.25">
      <c r="A2381" t="s">
        <v>98</v>
      </c>
      <c r="B2381" s="6">
        <v>45520</v>
      </c>
      <c r="C2381" t="s">
        <v>201</v>
      </c>
      <c r="D2381" t="s">
        <v>180</v>
      </c>
      <c r="E2381">
        <v>55391</v>
      </c>
      <c r="F2381">
        <v>531.65710000000001</v>
      </c>
    </row>
    <row r="2382" spans="1:6" x14ac:dyDescent="0.25">
      <c r="A2382" t="s">
        <v>98</v>
      </c>
      <c r="B2382" s="6">
        <v>45520</v>
      </c>
      <c r="C2382" t="s">
        <v>201</v>
      </c>
      <c r="D2382" t="s">
        <v>180</v>
      </c>
      <c r="E2382">
        <v>55915</v>
      </c>
      <c r="F2382">
        <v>530.13559999999995</v>
      </c>
    </row>
    <row r="2383" spans="1:6" x14ac:dyDescent="0.25">
      <c r="A2383" t="s">
        <v>98</v>
      </c>
      <c r="B2383" s="6">
        <v>45520</v>
      </c>
      <c r="C2383" t="s">
        <v>201</v>
      </c>
      <c r="D2383" t="s">
        <v>180</v>
      </c>
      <c r="E2383">
        <v>57137</v>
      </c>
      <c r="F2383">
        <v>529.29240000000004</v>
      </c>
    </row>
    <row r="2384" spans="1:6" x14ac:dyDescent="0.25">
      <c r="A2384" t="s">
        <v>98</v>
      </c>
      <c r="B2384" s="6">
        <v>45520</v>
      </c>
      <c r="C2384" t="s">
        <v>201</v>
      </c>
      <c r="D2384" t="s">
        <v>180</v>
      </c>
      <c r="E2384">
        <v>60011</v>
      </c>
      <c r="F2384">
        <v>528.38599999999997</v>
      </c>
    </row>
    <row r="2385" spans="1:6" x14ac:dyDescent="0.25">
      <c r="A2385" t="s">
        <v>98</v>
      </c>
      <c r="B2385" s="6">
        <v>45520</v>
      </c>
      <c r="C2385" t="s">
        <v>201</v>
      </c>
      <c r="D2385" t="s">
        <v>180</v>
      </c>
      <c r="E2385">
        <v>62309</v>
      </c>
      <c r="F2385">
        <v>527.39760000000001</v>
      </c>
    </row>
    <row r="2386" spans="1:6" x14ac:dyDescent="0.25">
      <c r="A2386" t="s">
        <v>98</v>
      </c>
      <c r="B2386" s="6">
        <v>45520</v>
      </c>
      <c r="C2386" t="s">
        <v>201</v>
      </c>
      <c r="D2386" t="s">
        <v>180</v>
      </c>
      <c r="E2386">
        <v>63191</v>
      </c>
      <c r="F2386">
        <v>526.28179999999998</v>
      </c>
    </row>
    <row r="2387" spans="1:6" x14ac:dyDescent="0.25">
      <c r="A2387" t="s">
        <v>98</v>
      </c>
      <c r="B2387" s="6">
        <v>45520</v>
      </c>
      <c r="C2387" t="s">
        <v>201</v>
      </c>
      <c r="D2387" t="s">
        <v>180</v>
      </c>
      <c r="E2387">
        <v>595684</v>
      </c>
      <c r="F2387">
        <v>532.81740000000002</v>
      </c>
    </row>
    <row r="2388" spans="1:6" x14ac:dyDescent="0.25">
      <c r="A2388" t="s">
        <v>98</v>
      </c>
      <c r="B2388" s="6">
        <v>45520</v>
      </c>
      <c r="C2388" t="s">
        <v>201</v>
      </c>
      <c r="D2388" t="s">
        <v>180</v>
      </c>
      <c r="E2388">
        <v>595973</v>
      </c>
      <c r="F2388">
        <v>531.57050000000004</v>
      </c>
    </row>
    <row r="2389" spans="1:6" x14ac:dyDescent="0.25">
      <c r="A2389" t="s">
        <v>98</v>
      </c>
      <c r="B2389" s="6">
        <v>45520</v>
      </c>
      <c r="C2389" t="s">
        <v>201</v>
      </c>
      <c r="D2389" t="s">
        <v>180</v>
      </c>
      <c r="E2389">
        <v>596390</v>
      </c>
      <c r="F2389">
        <v>530.19719999999995</v>
      </c>
    </row>
    <row r="2390" spans="1:6" x14ac:dyDescent="0.25">
      <c r="A2390" t="s">
        <v>98</v>
      </c>
      <c r="B2390" s="6">
        <v>45520</v>
      </c>
      <c r="C2390" t="s">
        <v>201</v>
      </c>
      <c r="D2390" t="s">
        <v>180</v>
      </c>
      <c r="E2390">
        <v>597581</v>
      </c>
      <c r="F2390">
        <v>529.28030000000001</v>
      </c>
    </row>
    <row r="2391" spans="1:6" x14ac:dyDescent="0.25">
      <c r="A2391" t="s">
        <v>98</v>
      </c>
      <c r="B2391" s="6">
        <v>45520</v>
      </c>
      <c r="C2391" t="s">
        <v>201</v>
      </c>
      <c r="D2391" t="s">
        <v>180</v>
      </c>
      <c r="E2391">
        <v>600683</v>
      </c>
      <c r="F2391">
        <v>528.36770000000001</v>
      </c>
    </row>
    <row r="2392" spans="1:6" x14ac:dyDescent="0.25">
      <c r="A2392" t="s">
        <v>98</v>
      </c>
      <c r="B2392" s="6">
        <v>45520</v>
      </c>
      <c r="C2392" t="s">
        <v>201</v>
      </c>
      <c r="D2392" t="s">
        <v>180</v>
      </c>
      <c r="E2392">
        <v>602426</v>
      </c>
      <c r="F2392">
        <v>527.23800000000006</v>
      </c>
    </row>
    <row r="2393" spans="1:6" x14ac:dyDescent="0.25">
      <c r="A2393" t="s">
        <v>98</v>
      </c>
      <c r="B2393" s="6">
        <v>45520</v>
      </c>
      <c r="C2393" t="s">
        <v>201</v>
      </c>
      <c r="D2393" t="s">
        <v>180</v>
      </c>
      <c r="E2393">
        <v>603267</v>
      </c>
      <c r="F2393">
        <v>526.03530000000001</v>
      </c>
    </row>
    <row r="2394" spans="1:6" x14ac:dyDescent="0.25">
      <c r="A2394" t="s">
        <v>98</v>
      </c>
      <c r="B2394" s="6">
        <v>45519</v>
      </c>
      <c r="C2394" t="s">
        <v>203</v>
      </c>
      <c r="D2394" t="s">
        <v>22</v>
      </c>
      <c r="E2394">
        <v>2341</v>
      </c>
      <c r="F2394">
        <v>0</v>
      </c>
    </row>
    <row r="2395" spans="1:6" x14ac:dyDescent="0.25">
      <c r="A2395" t="s">
        <v>98</v>
      </c>
      <c r="B2395" s="6">
        <v>45519</v>
      </c>
      <c r="C2395" t="s">
        <v>203</v>
      </c>
      <c r="D2395" t="s">
        <v>22</v>
      </c>
      <c r="E2395">
        <v>590</v>
      </c>
      <c r="F2395">
        <v>0</v>
      </c>
    </row>
    <row r="2396" spans="1:6" x14ac:dyDescent="0.25">
      <c r="A2396" t="s">
        <v>98</v>
      </c>
      <c r="B2396" s="6">
        <v>45519</v>
      </c>
      <c r="C2396" t="s">
        <v>202</v>
      </c>
      <c r="D2396" t="s">
        <v>22</v>
      </c>
      <c r="E2396">
        <v>1134</v>
      </c>
      <c r="F2396">
        <v>0</v>
      </c>
    </row>
    <row r="2397" spans="1:6" x14ac:dyDescent="0.25">
      <c r="A2397" t="s">
        <v>98</v>
      </c>
      <c r="B2397" s="6">
        <v>45519</v>
      </c>
      <c r="C2397" t="s">
        <v>202</v>
      </c>
      <c r="D2397" t="s">
        <v>22</v>
      </c>
      <c r="E2397">
        <v>5733</v>
      </c>
      <c r="F2397">
        <v>0</v>
      </c>
    </row>
    <row r="2398" spans="1:6" x14ac:dyDescent="0.25">
      <c r="A2398" t="s">
        <v>98</v>
      </c>
      <c r="B2398" s="6">
        <v>45519</v>
      </c>
      <c r="C2398" t="s">
        <v>195</v>
      </c>
      <c r="D2398" t="s">
        <v>22</v>
      </c>
      <c r="E2398">
        <v>37512</v>
      </c>
      <c r="F2398">
        <v>0</v>
      </c>
    </row>
    <row r="2399" spans="1:6" x14ac:dyDescent="0.25">
      <c r="A2399" t="s">
        <v>98</v>
      </c>
      <c r="B2399" s="6">
        <v>45519</v>
      </c>
      <c r="C2399" t="s">
        <v>195</v>
      </c>
      <c r="D2399" t="s">
        <v>22</v>
      </c>
      <c r="E2399">
        <v>67910</v>
      </c>
      <c r="F2399">
        <v>0</v>
      </c>
    </row>
    <row r="2400" spans="1:6" x14ac:dyDescent="0.25">
      <c r="A2400" t="s">
        <v>98</v>
      </c>
      <c r="B2400" s="6">
        <v>45519</v>
      </c>
      <c r="C2400" t="s">
        <v>195</v>
      </c>
      <c r="D2400" t="s">
        <v>22</v>
      </c>
      <c r="E2400">
        <v>32822</v>
      </c>
      <c r="F2400">
        <v>0</v>
      </c>
    </row>
    <row r="2401" spans="1:6" x14ac:dyDescent="0.25">
      <c r="A2401" t="s">
        <v>98</v>
      </c>
      <c r="B2401" s="6">
        <v>45519</v>
      </c>
      <c r="C2401" t="s">
        <v>195</v>
      </c>
      <c r="D2401" t="s">
        <v>22</v>
      </c>
      <c r="E2401">
        <v>5901</v>
      </c>
      <c r="F2401">
        <v>0</v>
      </c>
    </row>
    <row r="2402" spans="1:6" x14ac:dyDescent="0.25">
      <c r="A2402" t="s">
        <v>98</v>
      </c>
      <c r="B2402" s="6">
        <v>45519</v>
      </c>
      <c r="C2402" t="s">
        <v>195</v>
      </c>
      <c r="D2402" t="s">
        <v>73</v>
      </c>
      <c r="E2402">
        <v>42342</v>
      </c>
      <c r="F2402">
        <v>526.76</v>
      </c>
    </row>
    <row r="2403" spans="1:6" x14ac:dyDescent="0.25">
      <c r="A2403" t="s">
        <v>98</v>
      </c>
      <c r="B2403" s="6">
        <v>45519</v>
      </c>
      <c r="C2403" t="s">
        <v>195</v>
      </c>
      <c r="D2403" t="s">
        <v>22</v>
      </c>
      <c r="E2403">
        <v>51214</v>
      </c>
      <c r="F2403">
        <v>0</v>
      </c>
    </row>
    <row r="2404" spans="1:6" x14ac:dyDescent="0.25">
      <c r="A2404" t="s">
        <v>98</v>
      </c>
      <c r="B2404" s="6">
        <v>45519</v>
      </c>
      <c r="C2404" t="s">
        <v>195</v>
      </c>
      <c r="D2404" t="s">
        <v>22</v>
      </c>
      <c r="E2404">
        <v>48535</v>
      </c>
      <c r="F2404">
        <v>0</v>
      </c>
    </row>
    <row r="2405" spans="1:6" x14ac:dyDescent="0.25">
      <c r="A2405" t="s">
        <v>98</v>
      </c>
      <c r="B2405" s="6">
        <v>45519</v>
      </c>
      <c r="C2405" t="s">
        <v>195</v>
      </c>
      <c r="D2405" t="s">
        <v>22</v>
      </c>
      <c r="E2405">
        <v>41744</v>
      </c>
      <c r="F2405">
        <v>0</v>
      </c>
    </row>
    <row r="2406" spans="1:6" x14ac:dyDescent="0.25">
      <c r="A2406" t="s">
        <v>98</v>
      </c>
      <c r="B2406" s="6">
        <v>45519</v>
      </c>
      <c r="C2406" t="s">
        <v>195</v>
      </c>
      <c r="D2406" t="s">
        <v>22</v>
      </c>
      <c r="E2406">
        <v>36274</v>
      </c>
      <c r="F2406">
        <v>0</v>
      </c>
    </row>
    <row r="2407" spans="1:6" x14ac:dyDescent="0.25">
      <c r="A2407" t="s">
        <v>98</v>
      </c>
      <c r="B2407" s="6">
        <v>45519</v>
      </c>
      <c r="C2407" t="s">
        <v>204</v>
      </c>
      <c r="D2407" t="s">
        <v>22</v>
      </c>
      <c r="E2407">
        <v>2341</v>
      </c>
      <c r="F2407">
        <v>0</v>
      </c>
    </row>
    <row r="2408" spans="1:6" x14ac:dyDescent="0.25">
      <c r="A2408" t="s">
        <v>98</v>
      </c>
      <c r="B2408" s="6">
        <v>45519</v>
      </c>
      <c r="C2408" t="s">
        <v>204</v>
      </c>
      <c r="D2408" t="s">
        <v>22</v>
      </c>
      <c r="E2408">
        <v>590</v>
      </c>
      <c r="F2408">
        <v>0</v>
      </c>
    </row>
    <row r="2409" spans="1:6" x14ac:dyDescent="0.25">
      <c r="A2409" t="s">
        <v>98</v>
      </c>
      <c r="B2409" s="6">
        <v>45519</v>
      </c>
      <c r="C2409" t="s">
        <v>197</v>
      </c>
      <c r="D2409" t="s">
        <v>22</v>
      </c>
      <c r="E2409">
        <v>67910</v>
      </c>
      <c r="F2409">
        <v>0</v>
      </c>
    </row>
    <row r="2410" spans="1:6" x14ac:dyDescent="0.25">
      <c r="A2410" t="s">
        <v>98</v>
      </c>
      <c r="B2410" s="6">
        <v>45519</v>
      </c>
      <c r="C2410" t="s">
        <v>197</v>
      </c>
      <c r="D2410" t="s">
        <v>22</v>
      </c>
      <c r="E2410">
        <v>32822</v>
      </c>
      <c r="F2410">
        <v>0</v>
      </c>
    </row>
    <row r="2411" spans="1:6" x14ac:dyDescent="0.25">
      <c r="A2411" t="s">
        <v>98</v>
      </c>
      <c r="B2411" s="6">
        <v>45519</v>
      </c>
      <c r="C2411" t="s">
        <v>197</v>
      </c>
      <c r="D2411" t="s">
        <v>10</v>
      </c>
      <c r="E2411">
        <v>23602</v>
      </c>
      <c r="F2411">
        <v>0</v>
      </c>
    </row>
    <row r="2412" spans="1:6" x14ac:dyDescent="0.25">
      <c r="A2412" t="s">
        <v>98</v>
      </c>
      <c r="B2412" s="6">
        <v>45519</v>
      </c>
      <c r="C2412" t="s">
        <v>197</v>
      </c>
      <c r="D2412" t="s">
        <v>10</v>
      </c>
      <c r="E2412">
        <v>27392</v>
      </c>
      <c r="F2412">
        <v>0</v>
      </c>
    </row>
    <row r="2413" spans="1:6" x14ac:dyDescent="0.25">
      <c r="A2413" t="s">
        <v>98</v>
      </c>
      <c r="B2413" s="6">
        <v>45519</v>
      </c>
      <c r="C2413" t="s">
        <v>197</v>
      </c>
      <c r="D2413" t="s">
        <v>73</v>
      </c>
      <c r="E2413">
        <v>18171</v>
      </c>
      <c r="F2413">
        <v>526.76</v>
      </c>
    </row>
    <row r="2414" spans="1:6" x14ac:dyDescent="0.25">
      <c r="A2414" t="s">
        <v>98</v>
      </c>
      <c r="B2414" s="6">
        <v>45519</v>
      </c>
      <c r="C2414" t="s">
        <v>197</v>
      </c>
      <c r="D2414" t="s">
        <v>22</v>
      </c>
      <c r="E2414">
        <v>24251</v>
      </c>
      <c r="F2414">
        <v>0</v>
      </c>
    </row>
    <row r="2415" spans="1:6" x14ac:dyDescent="0.25">
      <c r="A2415" t="s">
        <v>98</v>
      </c>
      <c r="B2415" s="6">
        <v>45519</v>
      </c>
      <c r="C2415" t="s">
        <v>197</v>
      </c>
      <c r="D2415" t="s">
        <v>22</v>
      </c>
      <c r="E2415">
        <v>17460</v>
      </c>
      <c r="F2415">
        <v>0</v>
      </c>
    </row>
    <row r="2416" spans="1:6" x14ac:dyDescent="0.25">
      <c r="A2416" t="s">
        <v>98</v>
      </c>
      <c r="B2416" s="6">
        <v>45519</v>
      </c>
      <c r="C2416" t="s">
        <v>197</v>
      </c>
      <c r="D2416" t="s">
        <v>180</v>
      </c>
      <c r="E2416">
        <v>11990</v>
      </c>
      <c r="F2416">
        <v>526.76</v>
      </c>
    </row>
    <row r="2417" spans="1:6" x14ac:dyDescent="0.25">
      <c r="A2417" t="s">
        <v>98</v>
      </c>
      <c r="B2417" s="6">
        <v>45519</v>
      </c>
      <c r="C2417" t="s">
        <v>197</v>
      </c>
      <c r="D2417" t="s">
        <v>10</v>
      </c>
      <c r="E2417">
        <v>17047</v>
      </c>
      <c r="F2417">
        <v>0</v>
      </c>
    </row>
    <row r="2418" spans="1:6" x14ac:dyDescent="0.25">
      <c r="A2418" t="s">
        <v>98</v>
      </c>
      <c r="B2418" s="6">
        <v>45519</v>
      </c>
      <c r="C2418" t="s">
        <v>197</v>
      </c>
      <c r="D2418" t="s">
        <v>10</v>
      </c>
      <c r="E2418">
        <v>12326</v>
      </c>
      <c r="F2418">
        <v>0</v>
      </c>
    </row>
    <row r="2419" spans="1:6" x14ac:dyDescent="0.25">
      <c r="A2419" t="s">
        <v>98</v>
      </c>
      <c r="B2419" s="6">
        <v>45519</v>
      </c>
      <c r="C2419" t="s">
        <v>200</v>
      </c>
      <c r="D2419" t="s">
        <v>22</v>
      </c>
      <c r="E2419">
        <v>37512</v>
      </c>
      <c r="F2419">
        <v>0</v>
      </c>
    </row>
    <row r="2420" spans="1:6" x14ac:dyDescent="0.25">
      <c r="A2420" t="s">
        <v>98</v>
      </c>
      <c r="B2420" s="6">
        <v>45519</v>
      </c>
      <c r="C2420" t="s">
        <v>200</v>
      </c>
      <c r="D2420" t="s">
        <v>22</v>
      </c>
      <c r="E2420">
        <v>67910</v>
      </c>
      <c r="F2420">
        <v>0</v>
      </c>
    </row>
    <row r="2421" spans="1:6" x14ac:dyDescent="0.25">
      <c r="A2421" t="s">
        <v>98</v>
      </c>
      <c r="B2421" s="6">
        <v>45519</v>
      </c>
      <c r="C2421" t="s">
        <v>200</v>
      </c>
      <c r="D2421" t="s">
        <v>10</v>
      </c>
      <c r="E2421">
        <v>32822</v>
      </c>
      <c r="F2421">
        <v>0</v>
      </c>
    </row>
    <row r="2422" spans="1:6" x14ac:dyDescent="0.25">
      <c r="A2422" t="s">
        <v>98</v>
      </c>
      <c r="B2422" s="6">
        <v>45519</v>
      </c>
      <c r="C2422" t="s">
        <v>200</v>
      </c>
      <c r="D2422" t="s">
        <v>10</v>
      </c>
      <c r="E2422">
        <v>6010</v>
      </c>
      <c r="F2422">
        <v>0</v>
      </c>
    </row>
    <row r="2423" spans="1:6" x14ac:dyDescent="0.25">
      <c r="A2423" t="s">
        <v>98</v>
      </c>
      <c r="B2423" s="6">
        <v>45519</v>
      </c>
      <c r="C2423" t="s">
        <v>200</v>
      </c>
      <c r="D2423" t="s">
        <v>22</v>
      </c>
      <c r="E2423">
        <v>37512</v>
      </c>
      <c r="F2423">
        <v>0</v>
      </c>
    </row>
    <row r="2424" spans="1:6" x14ac:dyDescent="0.25">
      <c r="A2424" t="s">
        <v>98</v>
      </c>
      <c r="B2424" s="6">
        <v>45519</v>
      </c>
      <c r="C2424" t="s">
        <v>200</v>
      </c>
      <c r="D2424" t="s">
        <v>22</v>
      </c>
      <c r="E2424">
        <v>67910</v>
      </c>
      <c r="F2424">
        <v>0</v>
      </c>
    </row>
    <row r="2425" spans="1:6" x14ac:dyDescent="0.25">
      <c r="A2425" t="s">
        <v>98</v>
      </c>
      <c r="B2425" s="6">
        <v>45519</v>
      </c>
      <c r="C2425" t="s">
        <v>200</v>
      </c>
      <c r="D2425" t="s">
        <v>10</v>
      </c>
      <c r="E2425">
        <v>24617</v>
      </c>
      <c r="F2425">
        <v>0</v>
      </c>
    </row>
    <row r="2426" spans="1:6" x14ac:dyDescent="0.25">
      <c r="A2426" t="s">
        <v>98</v>
      </c>
      <c r="B2426" s="6">
        <v>45519</v>
      </c>
      <c r="C2426" t="s">
        <v>200</v>
      </c>
      <c r="D2426" t="s">
        <v>10</v>
      </c>
      <c r="E2426">
        <v>32099</v>
      </c>
      <c r="F2426">
        <v>0</v>
      </c>
    </row>
    <row r="2427" spans="1:6" x14ac:dyDescent="0.25">
      <c r="A2427" t="s">
        <v>98</v>
      </c>
      <c r="B2427" s="6">
        <v>45519</v>
      </c>
      <c r="C2427" t="s">
        <v>200</v>
      </c>
      <c r="D2427" t="s">
        <v>10</v>
      </c>
      <c r="E2427">
        <v>2361</v>
      </c>
      <c r="F2427">
        <v>0</v>
      </c>
    </row>
    <row r="2428" spans="1:6" x14ac:dyDescent="0.25">
      <c r="A2428" t="s">
        <v>98</v>
      </c>
      <c r="B2428" s="6">
        <v>45519</v>
      </c>
      <c r="C2428" t="s">
        <v>200</v>
      </c>
      <c r="D2428" t="s">
        <v>10</v>
      </c>
      <c r="E2428">
        <v>31192</v>
      </c>
      <c r="F2428">
        <v>0</v>
      </c>
    </row>
    <row r="2429" spans="1:6" x14ac:dyDescent="0.25">
      <c r="A2429" t="s">
        <v>98</v>
      </c>
      <c r="B2429" s="6">
        <v>45519</v>
      </c>
      <c r="C2429" t="s">
        <v>200</v>
      </c>
      <c r="D2429" t="s">
        <v>73</v>
      </c>
      <c r="E2429">
        <v>88399</v>
      </c>
      <c r="F2429">
        <v>526.76</v>
      </c>
    </row>
    <row r="2430" spans="1:6" x14ac:dyDescent="0.25">
      <c r="A2430" t="s">
        <v>98</v>
      </c>
      <c r="B2430" s="6">
        <v>45519</v>
      </c>
      <c r="C2430" t="s">
        <v>200</v>
      </c>
      <c r="D2430" t="s">
        <v>22</v>
      </c>
      <c r="E2430">
        <v>93095</v>
      </c>
      <c r="F2430">
        <v>0</v>
      </c>
    </row>
    <row r="2431" spans="1:6" x14ac:dyDescent="0.25">
      <c r="A2431" t="s">
        <v>98</v>
      </c>
      <c r="B2431" s="6">
        <v>45519</v>
      </c>
      <c r="C2431" t="s">
        <v>200</v>
      </c>
      <c r="D2431" t="s">
        <v>22</v>
      </c>
      <c r="E2431">
        <v>90416</v>
      </c>
      <c r="F2431">
        <v>0</v>
      </c>
    </row>
    <row r="2432" spans="1:6" x14ac:dyDescent="0.25">
      <c r="A2432" t="s">
        <v>98</v>
      </c>
      <c r="B2432" s="6">
        <v>45519</v>
      </c>
      <c r="C2432" t="s">
        <v>200</v>
      </c>
      <c r="D2432" t="s">
        <v>180</v>
      </c>
      <c r="E2432">
        <v>83625</v>
      </c>
      <c r="F2432">
        <v>526.76</v>
      </c>
    </row>
    <row r="2433" spans="1:6" x14ac:dyDescent="0.25">
      <c r="A2433" t="s">
        <v>98</v>
      </c>
      <c r="B2433" s="6">
        <v>45519</v>
      </c>
      <c r="C2433" t="s">
        <v>200</v>
      </c>
      <c r="D2433" t="s">
        <v>10</v>
      </c>
      <c r="E2433">
        <v>87828</v>
      </c>
      <c r="F2433">
        <v>0</v>
      </c>
    </row>
    <row r="2434" spans="1:6" x14ac:dyDescent="0.25">
      <c r="A2434" t="s">
        <v>98</v>
      </c>
      <c r="B2434" s="6">
        <v>45519</v>
      </c>
      <c r="C2434" t="s">
        <v>200</v>
      </c>
      <c r="D2434" t="s">
        <v>10</v>
      </c>
      <c r="E2434">
        <v>82358</v>
      </c>
      <c r="F2434">
        <v>0</v>
      </c>
    </row>
    <row r="2435" spans="1:6" x14ac:dyDescent="0.25">
      <c r="A2435" t="s">
        <v>98</v>
      </c>
      <c r="B2435" s="6">
        <v>45519</v>
      </c>
      <c r="C2435" t="s">
        <v>200</v>
      </c>
      <c r="D2435" t="s">
        <v>73</v>
      </c>
      <c r="E2435">
        <v>79353</v>
      </c>
      <c r="F2435">
        <v>526.76</v>
      </c>
    </row>
    <row r="2436" spans="1:6" x14ac:dyDescent="0.25">
      <c r="A2436" t="s">
        <v>98</v>
      </c>
      <c r="B2436" s="6">
        <v>45519</v>
      </c>
      <c r="C2436" t="s">
        <v>200</v>
      </c>
      <c r="D2436" t="s">
        <v>22</v>
      </c>
      <c r="E2436">
        <v>84049</v>
      </c>
      <c r="F2436">
        <v>0</v>
      </c>
    </row>
    <row r="2437" spans="1:6" x14ac:dyDescent="0.25">
      <c r="A2437" t="s">
        <v>98</v>
      </c>
      <c r="B2437" s="6">
        <v>45519</v>
      </c>
      <c r="C2437" t="s">
        <v>200</v>
      </c>
      <c r="D2437" t="s">
        <v>22</v>
      </c>
      <c r="E2437">
        <v>81370</v>
      </c>
      <c r="F2437">
        <v>0</v>
      </c>
    </row>
    <row r="2438" spans="1:6" x14ac:dyDescent="0.25">
      <c r="A2438" t="s">
        <v>98</v>
      </c>
      <c r="B2438" s="6">
        <v>45519</v>
      </c>
      <c r="C2438" t="s">
        <v>200</v>
      </c>
      <c r="D2438" t="s">
        <v>180</v>
      </c>
      <c r="E2438">
        <v>74579</v>
      </c>
      <c r="F2438">
        <v>526.76</v>
      </c>
    </row>
    <row r="2439" spans="1:6" x14ac:dyDescent="0.25">
      <c r="A2439" t="s">
        <v>98</v>
      </c>
      <c r="B2439" s="6">
        <v>45519</v>
      </c>
      <c r="C2439" t="s">
        <v>200</v>
      </c>
      <c r="D2439" t="s">
        <v>10</v>
      </c>
      <c r="E2439">
        <v>79326</v>
      </c>
      <c r="F2439">
        <v>0</v>
      </c>
    </row>
    <row r="2440" spans="1:6" x14ac:dyDescent="0.25">
      <c r="A2440" t="s">
        <v>98</v>
      </c>
      <c r="B2440" s="6">
        <v>45519</v>
      </c>
      <c r="C2440" t="s">
        <v>200</v>
      </c>
      <c r="D2440" t="s">
        <v>10</v>
      </c>
      <c r="E2440">
        <v>75224</v>
      </c>
      <c r="F2440">
        <v>0</v>
      </c>
    </row>
    <row r="2441" spans="1:6" x14ac:dyDescent="0.25">
      <c r="A2441" t="s">
        <v>98</v>
      </c>
      <c r="B2441" s="6">
        <v>45519</v>
      </c>
      <c r="C2441" t="s">
        <v>200</v>
      </c>
      <c r="D2441" t="s">
        <v>10</v>
      </c>
      <c r="E2441">
        <v>73336</v>
      </c>
      <c r="F2441">
        <v>0</v>
      </c>
    </row>
    <row r="2442" spans="1:6" x14ac:dyDescent="0.25">
      <c r="A2442" t="s">
        <v>98</v>
      </c>
      <c r="B2442" s="6">
        <v>45519</v>
      </c>
      <c r="C2442" t="s">
        <v>200</v>
      </c>
      <c r="D2442" t="s">
        <v>10</v>
      </c>
      <c r="E2442">
        <v>72156</v>
      </c>
      <c r="F2442">
        <v>0</v>
      </c>
    </row>
    <row r="2443" spans="1:6" x14ac:dyDescent="0.25">
      <c r="A2443" t="s">
        <v>98</v>
      </c>
      <c r="B2443" s="6">
        <v>45519</v>
      </c>
      <c r="C2443" t="s">
        <v>210</v>
      </c>
      <c r="D2443" t="s">
        <v>22</v>
      </c>
      <c r="E2443">
        <v>31885</v>
      </c>
      <c r="F2443">
        <v>0</v>
      </c>
    </row>
    <row r="2444" spans="1:6" x14ac:dyDescent="0.25">
      <c r="A2444" t="s">
        <v>98</v>
      </c>
      <c r="B2444" s="6">
        <v>45519</v>
      </c>
      <c r="C2444" t="s">
        <v>210</v>
      </c>
      <c r="D2444" t="s">
        <v>22</v>
      </c>
      <c r="E2444">
        <v>50932</v>
      </c>
      <c r="F2444">
        <v>0</v>
      </c>
    </row>
    <row r="2445" spans="1:6" x14ac:dyDescent="0.25">
      <c r="A2445" t="s">
        <v>98</v>
      </c>
      <c r="B2445" s="6">
        <v>45519</v>
      </c>
      <c r="C2445" t="s">
        <v>210</v>
      </c>
      <c r="D2445" t="s">
        <v>22</v>
      </c>
      <c r="E2445">
        <v>24617</v>
      </c>
      <c r="F2445">
        <v>0</v>
      </c>
    </row>
    <row r="2446" spans="1:6" x14ac:dyDescent="0.25">
      <c r="A2446" t="s">
        <v>98</v>
      </c>
      <c r="B2446" s="6">
        <v>45519</v>
      </c>
      <c r="C2446" t="s">
        <v>210</v>
      </c>
      <c r="D2446" t="s">
        <v>10</v>
      </c>
      <c r="E2446">
        <v>4721</v>
      </c>
      <c r="F2446">
        <v>0</v>
      </c>
    </row>
    <row r="2447" spans="1:6" x14ac:dyDescent="0.25">
      <c r="A2447" t="s">
        <v>98</v>
      </c>
      <c r="B2447" s="6">
        <v>45519</v>
      </c>
      <c r="C2447" t="s">
        <v>210</v>
      </c>
      <c r="D2447" t="s">
        <v>73</v>
      </c>
      <c r="E2447">
        <v>14822</v>
      </c>
      <c r="F2447">
        <v>526.76</v>
      </c>
    </row>
    <row r="2448" spans="1:6" x14ac:dyDescent="0.25">
      <c r="A2448" t="s">
        <v>98</v>
      </c>
      <c r="B2448" s="6">
        <v>45519</v>
      </c>
      <c r="C2448" t="s">
        <v>210</v>
      </c>
      <c r="D2448" t="s">
        <v>22</v>
      </c>
      <c r="E2448">
        <v>20229</v>
      </c>
      <c r="F2448">
        <v>0</v>
      </c>
    </row>
    <row r="2449" spans="1:6" x14ac:dyDescent="0.25">
      <c r="A2449" t="s">
        <v>98</v>
      </c>
      <c r="B2449" s="6">
        <v>45519</v>
      </c>
      <c r="C2449" t="s">
        <v>210</v>
      </c>
      <c r="D2449" t="s">
        <v>22</v>
      </c>
      <c r="E2449">
        <v>17951</v>
      </c>
      <c r="F2449">
        <v>0</v>
      </c>
    </row>
    <row r="2450" spans="1:6" x14ac:dyDescent="0.25">
      <c r="A2450" t="s">
        <v>98</v>
      </c>
      <c r="B2450" s="6">
        <v>45519</v>
      </c>
      <c r="C2450" t="s">
        <v>210</v>
      </c>
      <c r="D2450" t="s">
        <v>22</v>
      </c>
      <c r="E2450">
        <v>12857</v>
      </c>
      <c r="F2450">
        <v>0</v>
      </c>
    </row>
    <row r="2451" spans="1:6" x14ac:dyDescent="0.25">
      <c r="A2451" t="s">
        <v>98</v>
      </c>
      <c r="B2451" s="6">
        <v>45519</v>
      </c>
      <c r="C2451" t="s">
        <v>210</v>
      </c>
      <c r="D2451" t="s">
        <v>180</v>
      </c>
      <c r="E2451">
        <v>8755</v>
      </c>
      <c r="F2451">
        <v>526.76</v>
      </c>
    </row>
    <row r="2452" spans="1:6" x14ac:dyDescent="0.25">
      <c r="A2452" t="s">
        <v>98</v>
      </c>
      <c r="B2452" s="6">
        <v>45519</v>
      </c>
      <c r="C2452" t="s">
        <v>210</v>
      </c>
      <c r="D2452" t="s">
        <v>10</v>
      </c>
      <c r="E2452">
        <v>9888</v>
      </c>
      <c r="F2452">
        <v>0</v>
      </c>
    </row>
    <row r="2453" spans="1:6" x14ac:dyDescent="0.25">
      <c r="A2453" t="s">
        <v>98</v>
      </c>
      <c r="B2453" s="6">
        <v>45519</v>
      </c>
      <c r="C2453" t="s">
        <v>198</v>
      </c>
      <c r="D2453" t="s">
        <v>22</v>
      </c>
      <c r="E2453">
        <v>37512</v>
      </c>
      <c r="F2453">
        <v>0</v>
      </c>
    </row>
    <row r="2454" spans="1:6" x14ac:dyDescent="0.25">
      <c r="A2454" t="s">
        <v>98</v>
      </c>
      <c r="B2454" s="6">
        <v>45519</v>
      </c>
      <c r="C2454" t="s">
        <v>198</v>
      </c>
      <c r="D2454" t="s">
        <v>22</v>
      </c>
      <c r="E2454">
        <v>67910</v>
      </c>
      <c r="F2454">
        <v>0</v>
      </c>
    </row>
    <row r="2455" spans="1:6" x14ac:dyDescent="0.25">
      <c r="A2455" t="s">
        <v>98</v>
      </c>
      <c r="B2455" s="6">
        <v>45519</v>
      </c>
      <c r="C2455" t="s">
        <v>198</v>
      </c>
      <c r="D2455" t="s">
        <v>22</v>
      </c>
      <c r="E2455">
        <v>32822</v>
      </c>
      <c r="F2455">
        <v>0</v>
      </c>
    </row>
    <row r="2456" spans="1:6" x14ac:dyDescent="0.25">
      <c r="A2456" t="s">
        <v>98</v>
      </c>
      <c r="B2456" s="6">
        <v>45519</v>
      </c>
      <c r="C2456" t="s">
        <v>198</v>
      </c>
      <c r="D2456" t="s">
        <v>22</v>
      </c>
      <c r="E2456">
        <v>9441</v>
      </c>
      <c r="F2456">
        <v>0</v>
      </c>
    </row>
    <row r="2457" spans="1:6" x14ac:dyDescent="0.25">
      <c r="A2457" t="s">
        <v>98</v>
      </c>
      <c r="B2457" s="6">
        <v>45519</v>
      </c>
      <c r="C2457" t="s">
        <v>198</v>
      </c>
      <c r="D2457" t="s">
        <v>22</v>
      </c>
      <c r="E2457">
        <v>0</v>
      </c>
      <c r="F2457">
        <v>0</v>
      </c>
    </row>
    <row r="2458" spans="1:6" x14ac:dyDescent="0.25">
      <c r="A2458" t="s">
        <v>98</v>
      </c>
      <c r="B2458" s="6">
        <v>45519</v>
      </c>
      <c r="C2458" t="s">
        <v>198</v>
      </c>
      <c r="D2458" t="s">
        <v>73</v>
      </c>
      <c r="E2458">
        <v>358662</v>
      </c>
      <c r="F2458">
        <v>526.76</v>
      </c>
    </row>
    <row r="2459" spans="1:6" x14ac:dyDescent="0.25">
      <c r="A2459" t="s">
        <v>98</v>
      </c>
      <c r="B2459" s="6">
        <v>45519</v>
      </c>
      <c r="C2459" t="s">
        <v>198</v>
      </c>
      <c r="D2459" t="s">
        <v>22</v>
      </c>
      <c r="E2459">
        <v>374137</v>
      </c>
      <c r="F2459">
        <v>0</v>
      </c>
    </row>
    <row r="2460" spans="1:6" x14ac:dyDescent="0.25">
      <c r="A2460" t="s">
        <v>98</v>
      </c>
      <c r="B2460" s="6">
        <v>45519</v>
      </c>
      <c r="C2460" t="s">
        <v>198</v>
      </c>
      <c r="D2460" t="s">
        <v>22</v>
      </c>
      <c r="E2460">
        <v>371458</v>
      </c>
      <c r="F2460">
        <v>0</v>
      </c>
    </row>
    <row r="2461" spans="1:6" x14ac:dyDescent="0.25">
      <c r="A2461" t="s">
        <v>98</v>
      </c>
      <c r="B2461" s="6">
        <v>45519</v>
      </c>
      <c r="C2461" t="s">
        <v>198</v>
      </c>
      <c r="D2461" t="s">
        <v>22</v>
      </c>
      <c r="E2461">
        <v>364667</v>
      </c>
      <c r="F2461">
        <v>0</v>
      </c>
    </row>
    <row r="2462" spans="1:6" x14ac:dyDescent="0.25">
      <c r="A2462" t="s">
        <v>98</v>
      </c>
      <c r="B2462" s="6">
        <v>45519</v>
      </c>
      <c r="C2462" t="s">
        <v>198</v>
      </c>
      <c r="D2462" t="s">
        <v>22</v>
      </c>
      <c r="E2462">
        <v>359197</v>
      </c>
      <c r="F2462">
        <v>0</v>
      </c>
    </row>
    <row r="2463" spans="1:6" x14ac:dyDescent="0.25">
      <c r="A2463" t="s">
        <v>98</v>
      </c>
      <c r="B2463" s="6">
        <v>45519</v>
      </c>
      <c r="C2463" t="s">
        <v>198</v>
      </c>
      <c r="D2463" t="s">
        <v>22</v>
      </c>
      <c r="E2463">
        <v>354476</v>
      </c>
      <c r="F2463">
        <v>0</v>
      </c>
    </row>
    <row r="2464" spans="1:6" x14ac:dyDescent="0.25">
      <c r="A2464" t="s">
        <v>98</v>
      </c>
      <c r="B2464" s="6">
        <v>45519</v>
      </c>
      <c r="C2464" t="s">
        <v>196</v>
      </c>
      <c r="D2464" t="s">
        <v>22</v>
      </c>
      <c r="E2464">
        <v>37512</v>
      </c>
      <c r="F2464">
        <v>0</v>
      </c>
    </row>
    <row r="2465" spans="1:6" x14ac:dyDescent="0.25">
      <c r="A2465" t="s">
        <v>98</v>
      </c>
      <c r="B2465" s="6">
        <v>45519</v>
      </c>
      <c r="C2465" t="s">
        <v>196</v>
      </c>
      <c r="D2465" t="s">
        <v>22</v>
      </c>
      <c r="E2465">
        <v>67910</v>
      </c>
      <c r="F2465">
        <v>0</v>
      </c>
    </row>
    <row r="2466" spans="1:6" x14ac:dyDescent="0.25">
      <c r="A2466" t="s">
        <v>98</v>
      </c>
      <c r="B2466" s="6">
        <v>45519</v>
      </c>
      <c r="C2466" t="s">
        <v>196</v>
      </c>
      <c r="D2466" t="s">
        <v>10</v>
      </c>
      <c r="E2466">
        <v>32822</v>
      </c>
      <c r="F2466">
        <v>0</v>
      </c>
    </row>
    <row r="2467" spans="1:6" x14ac:dyDescent="0.25">
      <c r="A2467" t="s">
        <v>98</v>
      </c>
      <c r="B2467" s="6">
        <v>45519</v>
      </c>
      <c r="C2467" t="s">
        <v>196</v>
      </c>
      <c r="D2467" t="s">
        <v>10</v>
      </c>
      <c r="E2467">
        <v>9441</v>
      </c>
      <c r="F2467">
        <v>0</v>
      </c>
    </row>
    <row r="2468" spans="1:6" x14ac:dyDescent="0.25">
      <c r="A2468" t="s">
        <v>98</v>
      </c>
      <c r="B2468" s="6">
        <v>45519</v>
      </c>
      <c r="C2468" t="s">
        <v>196</v>
      </c>
      <c r="D2468" t="s">
        <v>73</v>
      </c>
      <c r="E2468">
        <v>15456</v>
      </c>
      <c r="F2468">
        <v>526.76</v>
      </c>
    </row>
    <row r="2469" spans="1:6" x14ac:dyDescent="0.25">
      <c r="A2469" t="s">
        <v>98</v>
      </c>
      <c r="B2469" s="6">
        <v>45519</v>
      </c>
      <c r="C2469" t="s">
        <v>196</v>
      </c>
      <c r="D2469" t="s">
        <v>22</v>
      </c>
      <c r="E2469">
        <v>19908</v>
      </c>
      <c r="F2469">
        <v>0</v>
      </c>
    </row>
    <row r="2470" spans="1:6" x14ac:dyDescent="0.25">
      <c r="A2470" t="s">
        <v>98</v>
      </c>
      <c r="B2470" s="6">
        <v>45519</v>
      </c>
      <c r="C2470" t="s">
        <v>196</v>
      </c>
      <c r="D2470" t="s">
        <v>22</v>
      </c>
      <c r="E2470">
        <v>17229</v>
      </c>
      <c r="F2470">
        <v>0</v>
      </c>
    </row>
    <row r="2471" spans="1:6" x14ac:dyDescent="0.25">
      <c r="A2471" t="s">
        <v>98</v>
      </c>
      <c r="B2471" s="6">
        <v>45519</v>
      </c>
      <c r="C2471" t="s">
        <v>196</v>
      </c>
      <c r="D2471" t="s">
        <v>180</v>
      </c>
      <c r="E2471">
        <v>10438</v>
      </c>
      <c r="F2471">
        <v>526.76</v>
      </c>
    </row>
    <row r="2472" spans="1:6" x14ac:dyDescent="0.25">
      <c r="A2472" t="s">
        <v>98</v>
      </c>
      <c r="B2472" s="6">
        <v>45519</v>
      </c>
      <c r="C2472" t="s">
        <v>196</v>
      </c>
      <c r="D2472" t="s">
        <v>10</v>
      </c>
      <c r="E2472">
        <v>15338</v>
      </c>
      <c r="F2472">
        <v>0</v>
      </c>
    </row>
    <row r="2473" spans="1:6" x14ac:dyDescent="0.25">
      <c r="A2473" t="s">
        <v>98</v>
      </c>
      <c r="B2473" s="6">
        <v>45519</v>
      </c>
      <c r="C2473" t="s">
        <v>196</v>
      </c>
      <c r="D2473" t="s">
        <v>10</v>
      </c>
      <c r="E2473">
        <v>9868</v>
      </c>
      <c r="F2473">
        <v>0</v>
      </c>
    </row>
    <row r="2474" spans="1:6" x14ac:dyDescent="0.25">
      <c r="A2474" t="s">
        <v>98</v>
      </c>
      <c r="B2474" s="6">
        <v>45519</v>
      </c>
      <c r="C2474" t="s">
        <v>199</v>
      </c>
      <c r="D2474" t="s">
        <v>22</v>
      </c>
      <c r="E2474">
        <v>4658</v>
      </c>
      <c r="F2474">
        <v>0</v>
      </c>
    </row>
    <row r="2475" spans="1:6" x14ac:dyDescent="0.25">
      <c r="A2475" t="s">
        <v>98</v>
      </c>
      <c r="B2475" s="6">
        <v>45519</v>
      </c>
      <c r="C2475" t="s">
        <v>199</v>
      </c>
      <c r="D2475" t="s">
        <v>22</v>
      </c>
      <c r="E2475">
        <v>15953</v>
      </c>
      <c r="F2475">
        <v>0</v>
      </c>
    </row>
    <row r="2476" spans="1:6" x14ac:dyDescent="0.25">
      <c r="A2476" t="s">
        <v>98</v>
      </c>
      <c r="B2476" s="6">
        <v>45519</v>
      </c>
      <c r="C2476" t="s">
        <v>199</v>
      </c>
      <c r="D2476" t="s">
        <v>73</v>
      </c>
      <c r="E2476">
        <v>3978</v>
      </c>
      <c r="F2476">
        <v>526.76</v>
      </c>
    </row>
    <row r="2477" spans="1:6" x14ac:dyDescent="0.25">
      <c r="A2477" t="s">
        <v>98</v>
      </c>
      <c r="B2477" s="6">
        <v>45519</v>
      </c>
      <c r="C2477" t="s">
        <v>199</v>
      </c>
      <c r="D2477" t="s">
        <v>22</v>
      </c>
      <c r="E2477">
        <v>4863</v>
      </c>
      <c r="F2477">
        <v>0</v>
      </c>
    </row>
    <row r="2478" spans="1:6" x14ac:dyDescent="0.25">
      <c r="A2478" t="s">
        <v>98</v>
      </c>
      <c r="B2478" s="6">
        <v>45519</v>
      </c>
      <c r="C2478" t="s">
        <v>199</v>
      </c>
      <c r="D2478" t="s">
        <v>22</v>
      </c>
      <c r="E2478">
        <v>4530</v>
      </c>
      <c r="F2478">
        <v>0</v>
      </c>
    </row>
    <row r="2479" spans="1:6" x14ac:dyDescent="0.25">
      <c r="A2479" t="s">
        <v>98</v>
      </c>
      <c r="B2479" s="6">
        <v>45519</v>
      </c>
      <c r="C2479" t="s">
        <v>201</v>
      </c>
      <c r="D2479" t="s">
        <v>180</v>
      </c>
      <c r="E2479">
        <v>63746</v>
      </c>
      <c r="F2479">
        <v>539.22</v>
      </c>
    </row>
    <row r="2480" spans="1:6" x14ac:dyDescent="0.25">
      <c r="A2480" t="s">
        <v>98</v>
      </c>
      <c r="B2480" s="6">
        <v>45519</v>
      </c>
      <c r="C2480" t="s">
        <v>201</v>
      </c>
      <c r="D2480" t="s">
        <v>180</v>
      </c>
      <c r="E2480">
        <v>64146</v>
      </c>
      <c r="F2480">
        <v>538.43420000000003</v>
      </c>
    </row>
    <row r="2481" spans="1:6" x14ac:dyDescent="0.25">
      <c r="A2481" t="s">
        <v>98</v>
      </c>
      <c r="B2481" s="6">
        <v>45519</v>
      </c>
      <c r="C2481" t="s">
        <v>201</v>
      </c>
      <c r="D2481" t="s">
        <v>180</v>
      </c>
      <c r="E2481">
        <v>66561</v>
      </c>
      <c r="F2481">
        <v>537.36270000000002</v>
      </c>
    </row>
    <row r="2482" spans="1:6" x14ac:dyDescent="0.25">
      <c r="A2482" t="s">
        <v>98</v>
      </c>
      <c r="B2482" s="6">
        <v>45519</v>
      </c>
      <c r="C2482" t="s">
        <v>201</v>
      </c>
      <c r="D2482" t="s">
        <v>180</v>
      </c>
      <c r="E2482">
        <v>69032</v>
      </c>
      <c r="F2482">
        <v>536.46280000000002</v>
      </c>
    </row>
    <row r="2483" spans="1:6" x14ac:dyDescent="0.25">
      <c r="A2483" t="s">
        <v>98</v>
      </c>
      <c r="B2483" s="6">
        <v>45519</v>
      </c>
      <c r="C2483" t="s">
        <v>201</v>
      </c>
      <c r="D2483" t="s">
        <v>180</v>
      </c>
      <c r="E2483">
        <v>69955</v>
      </c>
      <c r="F2483">
        <v>535.01800000000003</v>
      </c>
    </row>
    <row r="2484" spans="1:6" x14ac:dyDescent="0.25">
      <c r="A2484" t="s">
        <v>98</v>
      </c>
      <c r="B2484" s="6">
        <v>45519</v>
      </c>
      <c r="C2484" t="s">
        <v>201</v>
      </c>
      <c r="D2484" t="s">
        <v>180</v>
      </c>
      <c r="E2484">
        <v>70455</v>
      </c>
      <c r="F2484">
        <v>533.64</v>
      </c>
    </row>
    <row r="2485" spans="1:6" x14ac:dyDescent="0.25">
      <c r="A2485" t="s">
        <v>98</v>
      </c>
      <c r="B2485" s="6">
        <v>45519</v>
      </c>
      <c r="C2485" t="s">
        <v>201</v>
      </c>
      <c r="D2485" t="s">
        <v>180</v>
      </c>
      <c r="E2485">
        <v>70555</v>
      </c>
      <c r="F2485">
        <v>532.87249999999995</v>
      </c>
    </row>
    <row r="2486" spans="1:6" x14ac:dyDescent="0.25">
      <c r="A2486" t="s">
        <v>98</v>
      </c>
      <c r="B2486" s="6">
        <v>45519</v>
      </c>
      <c r="C2486" t="s">
        <v>201</v>
      </c>
      <c r="D2486" t="s">
        <v>180</v>
      </c>
      <c r="E2486">
        <v>70955</v>
      </c>
      <c r="F2486">
        <v>531.87</v>
      </c>
    </row>
    <row r="2487" spans="1:6" x14ac:dyDescent="0.25">
      <c r="A2487" t="s">
        <v>98</v>
      </c>
      <c r="B2487" s="6">
        <v>45519</v>
      </c>
      <c r="C2487" t="s">
        <v>201</v>
      </c>
      <c r="D2487" t="s">
        <v>180</v>
      </c>
      <c r="E2487">
        <v>71155</v>
      </c>
      <c r="F2487">
        <v>530.29330000000004</v>
      </c>
    </row>
    <row r="2488" spans="1:6" x14ac:dyDescent="0.25">
      <c r="A2488" t="s">
        <v>98</v>
      </c>
      <c r="B2488" s="6">
        <v>45519</v>
      </c>
      <c r="C2488" t="s">
        <v>201</v>
      </c>
      <c r="D2488" t="s">
        <v>180</v>
      </c>
      <c r="E2488">
        <v>71663</v>
      </c>
      <c r="F2488">
        <v>529.19749999999999</v>
      </c>
    </row>
    <row r="2489" spans="1:6" x14ac:dyDescent="0.25">
      <c r="A2489" t="s">
        <v>98</v>
      </c>
      <c r="B2489" s="6">
        <v>45519</v>
      </c>
      <c r="C2489" t="s">
        <v>201</v>
      </c>
      <c r="D2489" t="s">
        <v>180</v>
      </c>
      <c r="E2489">
        <v>72063</v>
      </c>
      <c r="F2489">
        <v>528.24630000000002</v>
      </c>
    </row>
    <row r="2490" spans="1:6" x14ac:dyDescent="0.25">
      <c r="A2490" t="s">
        <v>98</v>
      </c>
      <c r="B2490" s="6">
        <v>45519</v>
      </c>
      <c r="C2490" t="s">
        <v>201</v>
      </c>
      <c r="D2490" t="s">
        <v>180</v>
      </c>
      <c r="E2490">
        <v>603659</v>
      </c>
      <c r="F2490">
        <v>539.58000000000004</v>
      </c>
    </row>
    <row r="2491" spans="1:6" x14ac:dyDescent="0.25">
      <c r="A2491" t="s">
        <v>98</v>
      </c>
      <c r="B2491" s="6">
        <v>45519</v>
      </c>
      <c r="C2491" t="s">
        <v>201</v>
      </c>
      <c r="D2491" t="s">
        <v>180</v>
      </c>
      <c r="E2491">
        <v>603759</v>
      </c>
      <c r="F2491">
        <v>538.86620000000005</v>
      </c>
    </row>
    <row r="2492" spans="1:6" x14ac:dyDescent="0.25">
      <c r="A2492" t="s">
        <v>98</v>
      </c>
      <c r="B2492" s="6">
        <v>45519</v>
      </c>
      <c r="C2492" t="s">
        <v>201</v>
      </c>
      <c r="D2492" t="s">
        <v>180</v>
      </c>
      <c r="E2492">
        <v>604706</v>
      </c>
      <c r="F2492">
        <v>537.9787</v>
      </c>
    </row>
    <row r="2493" spans="1:6" x14ac:dyDescent="0.25">
      <c r="A2493" t="s">
        <v>98</v>
      </c>
      <c r="B2493" s="6">
        <v>45519</v>
      </c>
      <c r="C2493" t="s">
        <v>201</v>
      </c>
      <c r="D2493" t="s">
        <v>180</v>
      </c>
      <c r="E2493">
        <v>607319</v>
      </c>
      <c r="F2493">
        <v>536.93140000000005</v>
      </c>
    </row>
    <row r="2494" spans="1:6" x14ac:dyDescent="0.25">
      <c r="A2494" t="s">
        <v>98</v>
      </c>
      <c r="B2494" s="6">
        <v>45519</v>
      </c>
      <c r="C2494" t="s">
        <v>201</v>
      </c>
      <c r="D2494" t="s">
        <v>180</v>
      </c>
      <c r="E2494">
        <v>608967</v>
      </c>
      <c r="F2494">
        <v>535.83730000000003</v>
      </c>
    </row>
    <row r="2495" spans="1:6" x14ac:dyDescent="0.25">
      <c r="A2495" t="s">
        <v>98</v>
      </c>
      <c r="B2495" s="6">
        <v>45519</v>
      </c>
      <c r="C2495" t="s">
        <v>201</v>
      </c>
      <c r="D2495" t="s">
        <v>180</v>
      </c>
      <c r="E2495">
        <v>609534</v>
      </c>
      <c r="F2495">
        <v>534.75</v>
      </c>
    </row>
    <row r="2496" spans="1:6" x14ac:dyDescent="0.25">
      <c r="A2496" t="s">
        <v>98</v>
      </c>
      <c r="B2496" s="6">
        <v>45519</v>
      </c>
      <c r="C2496" t="s">
        <v>201</v>
      </c>
      <c r="D2496" t="s">
        <v>180</v>
      </c>
      <c r="E2496">
        <v>609934</v>
      </c>
      <c r="F2496">
        <v>532.97</v>
      </c>
    </row>
    <row r="2497" spans="1:6" x14ac:dyDescent="0.25">
      <c r="A2497" t="s">
        <v>98</v>
      </c>
      <c r="B2497" s="6">
        <v>45519</v>
      </c>
      <c r="C2497" t="s">
        <v>201</v>
      </c>
      <c r="D2497" t="s">
        <v>180</v>
      </c>
      <c r="E2497">
        <v>610334</v>
      </c>
      <c r="F2497">
        <v>530.99670000000003</v>
      </c>
    </row>
    <row r="2498" spans="1:6" x14ac:dyDescent="0.25">
      <c r="A2498" t="s">
        <v>98</v>
      </c>
      <c r="B2498" s="6">
        <v>45519</v>
      </c>
      <c r="C2498" t="s">
        <v>201</v>
      </c>
      <c r="D2498" t="s">
        <v>180</v>
      </c>
      <c r="E2498">
        <v>610634</v>
      </c>
      <c r="F2498">
        <v>529.54169999999999</v>
      </c>
    </row>
    <row r="2499" spans="1:6" x14ac:dyDescent="0.25">
      <c r="A2499" t="s">
        <v>98</v>
      </c>
      <c r="B2499" s="6">
        <v>45519</v>
      </c>
      <c r="C2499" t="s">
        <v>201</v>
      </c>
      <c r="D2499" t="s">
        <v>180</v>
      </c>
      <c r="E2499">
        <v>611234</v>
      </c>
      <c r="F2499">
        <v>528.49</v>
      </c>
    </row>
    <row r="2500" spans="1:6" x14ac:dyDescent="0.25">
      <c r="A2500" t="s">
        <v>98</v>
      </c>
      <c r="B2500" s="6">
        <v>45518</v>
      </c>
      <c r="C2500" t="s">
        <v>201</v>
      </c>
      <c r="D2500" t="s">
        <v>180</v>
      </c>
      <c r="E2500">
        <v>72473</v>
      </c>
      <c r="F2500">
        <v>532.91</v>
      </c>
    </row>
    <row r="2501" spans="1:6" x14ac:dyDescent="0.25">
      <c r="A2501" t="s">
        <v>98</v>
      </c>
      <c r="B2501" s="6">
        <v>45518</v>
      </c>
      <c r="C2501" t="s">
        <v>201</v>
      </c>
      <c r="D2501" t="s">
        <v>180</v>
      </c>
      <c r="E2501">
        <v>72557</v>
      </c>
      <c r="F2501">
        <v>532.14639999999997</v>
      </c>
    </row>
    <row r="2502" spans="1:6" x14ac:dyDescent="0.25">
      <c r="A2502" t="s">
        <v>98</v>
      </c>
      <c r="B2502" s="6">
        <v>45518</v>
      </c>
      <c r="C2502" t="s">
        <v>201</v>
      </c>
      <c r="D2502" t="s">
        <v>180</v>
      </c>
      <c r="E2502">
        <v>73571</v>
      </c>
      <c r="F2502">
        <v>531.25689999999997</v>
      </c>
    </row>
    <row r="2503" spans="1:6" x14ac:dyDescent="0.25">
      <c r="A2503" t="s">
        <v>98</v>
      </c>
      <c r="B2503" s="6">
        <v>45518</v>
      </c>
      <c r="C2503" t="s">
        <v>201</v>
      </c>
      <c r="D2503" t="s">
        <v>180</v>
      </c>
      <c r="E2503">
        <v>75169</v>
      </c>
      <c r="F2503">
        <v>530.03229999999996</v>
      </c>
    </row>
    <row r="2504" spans="1:6" x14ac:dyDescent="0.25">
      <c r="A2504" t="s">
        <v>98</v>
      </c>
      <c r="B2504" s="6">
        <v>45518</v>
      </c>
      <c r="C2504" t="s">
        <v>201</v>
      </c>
      <c r="D2504" t="s">
        <v>180</v>
      </c>
      <c r="E2504">
        <v>75942</v>
      </c>
      <c r="F2504">
        <v>529.17319999999995</v>
      </c>
    </row>
    <row r="2505" spans="1:6" x14ac:dyDescent="0.25">
      <c r="A2505" t="s">
        <v>98</v>
      </c>
      <c r="B2505" s="6">
        <v>45518</v>
      </c>
      <c r="C2505" t="s">
        <v>201</v>
      </c>
      <c r="D2505" t="s">
        <v>180</v>
      </c>
      <c r="E2505">
        <v>76659</v>
      </c>
      <c r="F2505">
        <v>528.02059999999994</v>
      </c>
    </row>
    <row r="2506" spans="1:6" x14ac:dyDescent="0.25">
      <c r="A2506" t="s">
        <v>98</v>
      </c>
      <c r="B2506" s="6">
        <v>45518</v>
      </c>
      <c r="C2506" t="s">
        <v>201</v>
      </c>
      <c r="D2506" t="s">
        <v>180</v>
      </c>
      <c r="E2506">
        <v>77738</v>
      </c>
      <c r="F2506">
        <v>527.08460000000002</v>
      </c>
    </row>
    <row r="2507" spans="1:6" x14ac:dyDescent="0.25">
      <c r="A2507" t="s">
        <v>98</v>
      </c>
      <c r="B2507" s="6">
        <v>45518</v>
      </c>
      <c r="C2507" t="s">
        <v>201</v>
      </c>
      <c r="D2507" t="s">
        <v>180</v>
      </c>
      <c r="E2507">
        <v>78574</v>
      </c>
      <c r="F2507">
        <v>525.774</v>
      </c>
    </row>
    <row r="2508" spans="1:6" x14ac:dyDescent="0.25">
      <c r="A2508" t="s">
        <v>98</v>
      </c>
      <c r="B2508" s="6">
        <v>45518</v>
      </c>
      <c r="C2508" t="s">
        <v>201</v>
      </c>
      <c r="D2508" t="s">
        <v>180</v>
      </c>
      <c r="E2508">
        <v>80248</v>
      </c>
      <c r="F2508">
        <v>524.97320000000002</v>
      </c>
    </row>
    <row r="2509" spans="1:6" x14ac:dyDescent="0.25">
      <c r="A2509" t="s">
        <v>98</v>
      </c>
      <c r="B2509" s="6">
        <v>45518</v>
      </c>
      <c r="C2509" t="s">
        <v>201</v>
      </c>
      <c r="D2509" t="s">
        <v>180</v>
      </c>
      <c r="E2509">
        <v>81038</v>
      </c>
      <c r="F2509">
        <v>523.72889999999995</v>
      </c>
    </row>
    <row r="2510" spans="1:6" x14ac:dyDescent="0.25">
      <c r="A2510" t="s">
        <v>98</v>
      </c>
      <c r="B2510" s="6">
        <v>45518</v>
      </c>
      <c r="C2510" t="s">
        <v>201</v>
      </c>
      <c r="D2510" t="s">
        <v>180</v>
      </c>
      <c r="E2510">
        <v>611634</v>
      </c>
      <c r="F2510">
        <v>533.39850000000001</v>
      </c>
    </row>
    <row r="2511" spans="1:6" x14ac:dyDescent="0.25">
      <c r="A2511" t="s">
        <v>98</v>
      </c>
      <c r="B2511" s="6">
        <v>45518</v>
      </c>
      <c r="C2511" t="s">
        <v>201</v>
      </c>
      <c r="D2511" t="s">
        <v>180</v>
      </c>
      <c r="E2511">
        <v>611874</v>
      </c>
      <c r="F2511">
        <v>532.25729999999999</v>
      </c>
    </row>
    <row r="2512" spans="1:6" x14ac:dyDescent="0.25">
      <c r="A2512" t="s">
        <v>98</v>
      </c>
      <c r="B2512" s="6">
        <v>45518</v>
      </c>
      <c r="C2512" t="s">
        <v>201</v>
      </c>
      <c r="D2512" t="s">
        <v>180</v>
      </c>
      <c r="E2512">
        <v>612457</v>
      </c>
      <c r="F2512">
        <v>531.30719999999997</v>
      </c>
    </row>
    <row r="2513" spans="1:6" x14ac:dyDescent="0.25">
      <c r="A2513" t="s">
        <v>98</v>
      </c>
      <c r="B2513" s="6">
        <v>45518</v>
      </c>
      <c r="C2513" t="s">
        <v>201</v>
      </c>
      <c r="D2513" t="s">
        <v>180</v>
      </c>
      <c r="E2513">
        <v>613863</v>
      </c>
      <c r="F2513">
        <v>530.21709999999996</v>
      </c>
    </row>
    <row r="2514" spans="1:6" x14ac:dyDescent="0.25">
      <c r="A2514" t="s">
        <v>98</v>
      </c>
      <c r="B2514" s="6">
        <v>45518</v>
      </c>
      <c r="C2514" t="s">
        <v>201</v>
      </c>
      <c r="D2514" t="s">
        <v>180</v>
      </c>
      <c r="E2514">
        <v>614974</v>
      </c>
      <c r="F2514">
        <v>528.99670000000003</v>
      </c>
    </row>
    <row r="2515" spans="1:6" x14ac:dyDescent="0.25">
      <c r="A2515" t="s">
        <v>98</v>
      </c>
      <c r="B2515" s="6">
        <v>45518</v>
      </c>
      <c r="C2515" t="s">
        <v>201</v>
      </c>
      <c r="D2515" t="s">
        <v>180</v>
      </c>
      <c r="E2515">
        <v>615454</v>
      </c>
      <c r="F2515">
        <v>527.86689999999999</v>
      </c>
    </row>
    <row r="2516" spans="1:6" x14ac:dyDescent="0.25">
      <c r="A2516" t="s">
        <v>98</v>
      </c>
      <c r="B2516" s="6">
        <v>45518</v>
      </c>
      <c r="C2516" t="s">
        <v>201</v>
      </c>
      <c r="D2516" t="s">
        <v>180</v>
      </c>
      <c r="E2516">
        <v>616177</v>
      </c>
      <c r="F2516">
        <v>526.85069999999996</v>
      </c>
    </row>
    <row r="2517" spans="1:6" x14ac:dyDescent="0.25">
      <c r="A2517" t="s">
        <v>98</v>
      </c>
      <c r="B2517" s="6">
        <v>45518</v>
      </c>
      <c r="C2517" t="s">
        <v>201</v>
      </c>
      <c r="D2517" t="s">
        <v>180</v>
      </c>
      <c r="E2517">
        <v>617245</v>
      </c>
      <c r="F2517">
        <v>525.62509999999997</v>
      </c>
    </row>
    <row r="2518" spans="1:6" x14ac:dyDescent="0.25">
      <c r="A2518" t="s">
        <v>98</v>
      </c>
      <c r="B2518" s="6">
        <v>45518</v>
      </c>
      <c r="C2518" t="s">
        <v>201</v>
      </c>
      <c r="D2518" t="s">
        <v>180</v>
      </c>
      <c r="E2518">
        <v>619083</v>
      </c>
      <c r="F2518">
        <v>524.5163</v>
      </c>
    </row>
    <row r="2519" spans="1:6" x14ac:dyDescent="0.25">
      <c r="A2519" t="s">
        <v>98</v>
      </c>
      <c r="B2519" s="6">
        <v>45517</v>
      </c>
      <c r="C2519" t="s">
        <v>201</v>
      </c>
      <c r="D2519" t="s">
        <v>180</v>
      </c>
      <c r="E2519">
        <v>81200</v>
      </c>
      <c r="F2519">
        <v>530.45609999999999</v>
      </c>
    </row>
    <row r="2520" spans="1:6" x14ac:dyDescent="0.25">
      <c r="A2520" t="s">
        <v>98</v>
      </c>
      <c r="B2520" s="6">
        <v>45517</v>
      </c>
      <c r="C2520" t="s">
        <v>201</v>
      </c>
      <c r="D2520" t="s">
        <v>180</v>
      </c>
      <c r="E2520">
        <v>81610</v>
      </c>
      <c r="F2520">
        <v>529.12919999999997</v>
      </c>
    </row>
    <row r="2521" spans="1:6" x14ac:dyDescent="0.25">
      <c r="A2521" t="s">
        <v>98</v>
      </c>
      <c r="B2521" s="6">
        <v>45517</v>
      </c>
      <c r="C2521" t="s">
        <v>201</v>
      </c>
      <c r="D2521" t="s">
        <v>180</v>
      </c>
      <c r="E2521">
        <v>81962</v>
      </c>
      <c r="F2521">
        <v>528.37649999999996</v>
      </c>
    </row>
    <row r="2522" spans="1:6" x14ac:dyDescent="0.25">
      <c r="A2522" t="s">
        <v>98</v>
      </c>
      <c r="B2522" s="6">
        <v>45517</v>
      </c>
      <c r="C2522" t="s">
        <v>201</v>
      </c>
      <c r="D2522" t="s">
        <v>180</v>
      </c>
      <c r="E2522">
        <v>82690</v>
      </c>
      <c r="F2522">
        <v>527.17949999999996</v>
      </c>
    </row>
    <row r="2523" spans="1:6" x14ac:dyDescent="0.25">
      <c r="A2523" t="s">
        <v>98</v>
      </c>
      <c r="B2523" s="6">
        <v>45517</v>
      </c>
      <c r="C2523" t="s">
        <v>201</v>
      </c>
      <c r="D2523" t="s">
        <v>180</v>
      </c>
      <c r="E2523">
        <v>84801</v>
      </c>
      <c r="F2523">
        <v>526.03899999999999</v>
      </c>
    </row>
    <row r="2524" spans="1:6" x14ac:dyDescent="0.25">
      <c r="A2524" t="s">
        <v>98</v>
      </c>
      <c r="B2524" s="6">
        <v>45517</v>
      </c>
      <c r="C2524" t="s">
        <v>201</v>
      </c>
      <c r="D2524" t="s">
        <v>180</v>
      </c>
      <c r="E2524">
        <v>85585</v>
      </c>
      <c r="F2524">
        <v>525.07860000000005</v>
      </c>
    </row>
    <row r="2525" spans="1:6" x14ac:dyDescent="0.25">
      <c r="A2525" t="s">
        <v>98</v>
      </c>
      <c r="B2525" s="6">
        <v>45517</v>
      </c>
      <c r="C2525" t="s">
        <v>201</v>
      </c>
      <c r="D2525" t="s">
        <v>180</v>
      </c>
      <c r="E2525">
        <v>86862</v>
      </c>
      <c r="F2525">
        <v>524.05909999999994</v>
      </c>
    </row>
    <row r="2526" spans="1:6" x14ac:dyDescent="0.25">
      <c r="A2526" t="s">
        <v>98</v>
      </c>
      <c r="B2526" s="6">
        <v>45517</v>
      </c>
      <c r="C2526" t="s">
        <v>201</v>
      </c>
      <c r="D2526" t="s">
        <v>180</v>
      </c>
      <c r="E2526">
        <v>87666</v>
      </c>
      <c r="F2526">
        <v>523.12220000000002</v>
      </c>
    </row>
    <row r="2527" spans="1:6" x14ac:dyDescent="0.25">
      <c r="A2527" t="s">
        <v>98</v>
      </c>
      <c r="B2527" s="6">
        <v>45517</v>
      </c>
      <c r="C2527" t="s">
        <v>201</v>
      </c>
      <c r="D2527" t="s">
        <v>180</v>
      </c>
      <c r="E2527">
        <v>88396</v>
      </c>
      <c r="F2527">
        <v>522.09760000000006</v>
      </c>
    </row>
    <row r="2528" spans="1:6" x14ac:dyDescent="0.25">
      <c r="A2528" t="s">
        <v>98</v>
      </c>
      <c r="B2528" s="6">
        <v>45517</v>
      </c>
      <c r="C2528" t="s">
        <v>201</v>
      </c>
      <c r="D2528" t="s">
        <v>180</v>
      </c>
      <c r="E2528">
        <v>89780</v>
      </c>
      <c r="F2528">
        <v>520.33600000000001</v>
      </c>
    </row>
    <row r="2529" spans="1:6" x14ac:dyDescent="0.25">
      <c r="A2529" t="s">
        <v>98</v>
      </c>
      <c r="B2529" s="6">
        <v>45517</v>
      </c>
      <c r="C2529" t="s">
        <v>201</v>
      </c>
      <c r="D2529" t="s">
        <v>180</v>
      </c>
      <c r="E2529">
        <v>89855</v>
      </c>
      <c r="F2529">
        <v>518.59</v>
      </c>
    </row>
    <row r="2530" spans="1:6" x14ac:dyDescent="0.25">
      <c r="A2530" t="s">
        <v>98</v>
      </c>
      <c r="B2530" s="6">
        <v>45517</v>
      </c>
      <c r="C2530" t="s">
        <v>201</v>
      </c>
      <c r="D2530" t="s">
        <v>180</v>
      </c>
      <c r="E2530">
        <v>619609</v>
      </c>
      <c r="F2530">
        <v>530.71220000000005</v>
      </c>
    </row>
    <row r="2531" spans="1:6" x14ac:dyDescent="0.25">
      <c r="A2531" t="s">
        <v>98</v>
      </c>
      <c r="B2531" s="6">
        <v>45517</v>
      </c>
      <c r="C2531" t="s">
        <v>201</v>
      </c>
      <c r="D2531" t="s">
        <v>180</v>
      </c>
      <c r="E2531">
        <v>619877</v>
      </c>
      <c r="F2531">
        <v>529.58180000000004</v>
      </c>
    </row>
    <row r="2532" spans="1:6" x14ac:dyDescent="0.25">
      <c r="A2532" t="s">
        <v>98</v>
      </c>
      <c r="B2532" s="6">
        <v>45517</v>
      </c>
      <c r="C2532" t="s">
        <v>201</v>
      </c>
      <c r="D2532" t="s">
        <v>180</v>
      </c>
      <c r="E2532">
        <v>620169</v>
      </c>
      <c r="F2532">
        <v>528.5127</v>
      </c>
    </row>
    <row r="2533" spans="1:6" x14ac:dyDescent="0.25">
      <c r="A2533" t="s">
        <v>98</v>
      </c>
      <c r="B2533" s="6">
        <v>45517</v>
      </c>
      <c r="C2533" t="s">
        <v>201</v>
      </c>
      <c r="D2533" t="s">
        <v>180</v>
      </c>
      <c r="E2533">
        <v>620975</v>
      </c>
      <c r="F2533">
        <v>527.41409999999996</v>
      </c>
    </row>
    <row r="2534" spans="1:6" x14ac:dyDescent="0.25">
      <c r="A2534" t="s">
        <v>98</v>
      </c>
      <c r="B2534" s="6">
        <v>45517</v>
      </c>
      <c r="C2534" t="s">
        <v>201</v>
      </c>
      <c r="D2534" t="s">
        <v>180</v>
      </c>
      <c r="E2534">
        <v>622183</v>
      </c>
      <c r="F2534">
        <v>526.38969999999995</v>
      </c>
    </row>
    <row r="2535" spans="1:6" x14ac:dyDescent="0.25">
      <c r="A2535" t="s">
        <v>98</v>
      </c>
      <c r="B2535" s="6">
        <v>45517</v>
      </c>
      <c r="C2535" t="s">
        <v>201</v>
      </c>
      <c r="D2535" t="s">
        <v>180</v>
      </c>
      <c r="E2535">
        <v>623553</v>
      </c>
      <c r="F2535">
        <v>525.10379999999998</v>
      </c>
    </row>
    <row r="2536" spans="1:6" x14ac:dyDescent="0.25">
      <c r="A2536" t="s">
        <v>98</v>
      </c>
      <c r="B2536" s="6">
        <v>45517</v>
      </c>
      <c r="C2536" t="s">
        <v>201</v>
      </c>
      <c r="D2536" t="s">
        <v>180</v>
      </c>
      <c r="E2536">
        <v>624662</v>
      </c>
      <c r="F2536">
        <v>524.15290000000005</v>
      </c>
    </row>
    <row r="2537" spans="1:6" x14ac:dyDescent="0.25">
      <c r="A2537" t="s">
        <v>98</v>
      </c>
      <c r="B2537" s="6">
        <v>45517</v>
      </c>
      <c r="C2537" t="s">
        <v>201</v>
      </c>
      <c r="D2537" t="s">
        <v>180</v>
      </c>
      <c r="E2537">
        <v>625305</v>
      </c>
      <c r="F2537">
        <v>523.13499999999999</v>
      </c>
    </row>
    <row r="2538" spans="1:6" x14ac:dyDescent="0.25">
      <c r="A2538" t="s">
        <v>98</v>
      </c>
      <c r="B2538" s="6">
        <v>45517</v>
      </c>
      <c r="C2538" t="s">
        <v>201</v>
      </c>
      <c r="D2538" t="s">
        <v>180</v>
      </c>
      <c r="E2538">
        <v>626371</v>
      </c>
      <c r="F2538">
        <v>522.10410000000002</v>
      </c>
    </row>
    <row r="2539" spans="1:6" x14ac:dyDescent="0.25">
      <c r="A2539" t="s">
        <v>98</v>
      </c>
      <c r="B2539" s="6">
        <v>45517</v>
      </c>
      <c r="C2539" t="s">
        <v>201</v>
      </c>
      <c r="D2539" t="s">
        <v>180</v>
      </c>
      <c r="E2539">
        <v>627417</v>
      </c>
      <c r="F2539">
        <v>520.19910000000004</v>
      </c>
    </row>
    <row r="2540" spans="1:6" x14ac:dyDescent="0.25">
      <c r="A2540" t="s">
        <v>98</v>
      </c>
      <c r="B2540" s="6">
        <v>45516</v>
      </c>
      <c r="C2540" t="s">
        <v>201</v>
      </c>
      <c r="D2540" t="s">
        <v>180</v>
      </c>
      <c r="E2540">
        <v>89927</v>
      </c>
      <c r="F2540">
        <v>517.15350000000001</v>
      </c>
    </row>
    <row r="2541" spans="1:6" x14ac:dyDescent="0.25">
      <c r="A2541" t="s">
        <v>98</v>
      </c>
      <c r="B2541" s="6">
        <v>45516</v>
      </c>
      <c r="C2541" t="s">
        <v>201</v>
      </c>
      <c r="D2541" t="s">
        <v>180</v>
      </c>
      <c r="E2541">
        <v>90299</v>
      </c>
      <c r="F2541">
        <v>515.8605</v>
      </c>
    </row>
    <row r="2542" spans="1:6" x14ac:dyDescent="0.25">
      <c r="A2542" t="s">
        <v>98</v>
      </c>
      <c r="B2542" s="6">
        <v>45516</v>
      </c>
      <c r="C2542" t="s">
        <v>201</v>
      </c>
      <c r="D2542" t="s">
        <v>180</v>
      </c>
      <c r="E2542">
        <v>91602</v>
      </c>
      <c r="F2542">
        <v>515.07500000000005</v>
      </c>
    </row>
    <row r="2543" spans="1:6" x14ac:dyDescent="0.25">
      <c r="A2543" t="s">
        <v>98</v>
      </c>
      <c r="B2543" s="6">
        <v>45516</v>
      </c>
      <c r="C2543" t="s">
        <v>201</v>
      </c>
      <c r="D2543" t="s">
        <v>180</v>
      </c>
      <c r="E2543">
        <v>96749</v>
      </c>
      <c r="F2543">
        <v>514.09019999999998</v>
      </c>
    </row>
    <row r="2544" spans="1:6" x14ac:dyDescent="0.25">
      <c r="A2544" t="s">
        <v>98</v>
      </c>
      <c r="B2544" s="6">
        <v>45516</v>
      </c>
      <c r="C2544" t="s">
        <v>201</v>
      </c>
      <c r="D2544" t="s">
        <v>180</v>
      </c>
      <c r="E2544">
        <v>98100</v>
      </c>
      <c r="F2544">
        <v>512.41769999999997</v>
      </c>
    </row>
    <row r="2545" spans="1:6" x14ac:dyDescent="0.25">
      <c r="A2545" t="s">
        <v>98</v>
      </c>
      <c r="B2545" s="6">
        <v>45516</v>
      </c>
      <c r="C2545" t="s">
        <v>201</v>
      </c>
      <c r="D2545" t="s">
        <v>180</v>
      </c>
      <c r="E2545">
        <v>98486</v>
      </c>
      <c r="F2545">
        <v>510.86709999999999</v>
      </c>
    </row>
    <row r="2546" spans="1:6" x14ac:dyDescent="0.25">
      <c r="A2546" t="s">
        <v>98</v>
      </c>
      <c r="B2546" s="6">
        <v>45516</v>
      </c>
      <c r="C2546" t="s">
        <v>201</v>
      </c>
      <c r="D2546" t="s">
        <v>180</v>
      </c>
      <c r="E2546">
        <v>627584</v>
      </c>
      <c r="F2546">
        <v>517.23329999999999</v>
      </c>
    </row>
    <row r="2547" spans="1:6" x14ac:dyDescent="0.25">
      <c r="A2547" t="s">
        <v>98</v>
      </c>
      <c r="B2547" s="6">
        <v>45516</v>
      </c>
      <c r="C2547" t="s">
        <v>201</v>
      </c>
      <c r="D2547" t="s">
        <v>180</v>
      </c>
      <c r="E2547">
        <v>627860</v>
      </c>
      <c r="F2547">
        <v>515.89419999999996</v>
      </c>
    </row>
    <row r="2548" spans="1:6" x14ac:dyDescent="0.25">
      <c r="A2548" t="s">
        <v>98</v>
      </c>
      <c r="B2548" s="6">
        <v>45516</v>
      </c>
      <c r="C2548" t="s">
        <v>201</v>
      </c>
      <c r="D2548" t="s">
        <v>180</v>
      </c>
      <c r="E2548">
        <v>628743</v>
      </c>
      <c r="F2548">
        <v>515.10649999999998</v>
      </c>
    </row>
    <row r="2549" spans="1:6" x14ac:dyDescent="0.25">
      <c r="A2549" t="s">
        <v>98</v>
      </c>
      <c r="B2549" s="6">
        <v>45516</v>
      </c>
      <c r="C2549" t="s">
        <v>201</v>
      </c>
      <c r="D2549" t="s">
        <v>180</v>
      </c>
      <c r="E2549">
        <v>633742</v>
      </c>
      <c r="F2549">
        <v>514.226</v>
      </c>
    </row>
    <row r="2550" spans="1:6" x14ac:dyDescent="0.25">
      <c r="A2550" t="s">
        <v>98</v>
      </c>
      <c r="B2550" s="6">
        <v>45516</v>
      </c>
      <c r="C2550" t="s">
        <v>201</v>
      </c>
      <c r="D2550" t="s">
        <v>180</v>
      </c>
      <c r="E2550">
        <v>634616</v>
      </c>
      <c r="F2550">
        <v>513.18320000000006</v>
      </c>
    </row>
    <row r="2551" spans="1:6" x14ac:dyDescent="0.25">
      <c r="A2551" t="s">
        <v>98</v>
      </c>
      <c r="B2551" s="6">
        <v>45516</v>
      </c>
      <c r="C2551" t="s">
        <v>201</v>
      </c>
      <c r="D2551" t="s">
        <v>180</v>
      </c>
      <c r="E2551">
        <v>635173</v>
      </c>
      <c r="F2551">
        <v>511.9024</v>
      </c>
    </row>
    <row r="2552" spans="1:6" x14ac:dyDescent="0.25">
      <c r="A2552" t="s">
        <v>98</v>
      </c>
      <c r="B2552" s="6">
        <v>45516</v>
      </c>
      <c r="C2552" t="s">
        <v>201</v>
      </c>
      <c r="D2552" t="s">
        <v>180</v>
      </c>
      <c r="E2552">
        <v>635437</v>
      </c>
      <c r="F2552">
        <v>509.83080000000001</v>
      </c>
    </row>
    <row r="2553" spans="1:6" x14ac:dyDescent="0.25">
      <c r="A2553" t="s">
        <v>98</v>
      </c>
      <c r="B2553" s="6">
        <v>45516</v>
      </c>
      <c r="C2553" t="s">
        <v>205</v>
      </c>
      <c r="D2553" t="s">
        <v>74</v>
      </c>
      <c r="E2553">
        <v>10375</v>
      </c>
      <c r="F2553">
        <v>0</v>
      </c>
    </row>
    <row r="2554" spans="1:6" x14ac:dyDescent="0.25">
      <c r="A2554" t="s">
        <v>98</v>
      </c>
      <c r="B2554" s="6">
        <v>45513</v>
      </c>
      <c r="C2554" t="s">
        <v>201</v>
      </c>
      <c r="D2554" t="s">
        <v>180</v>
      </c>
      <c r="E2554">
        <v>98654</v>
      </c>
      <c r="F2554">
        <v>517.93769999999995</v>
      </c>
    </row>
    <row r="2555" spans="1:6" x14ac:dyDescent="0.25">
      <c r="A2555" t="s">
        <v>98</v>
      </c>
      <c r="B2555" s="6">
        <v>45513</v>
      </c>
      <c r="C2555" t="s">
        <v>201</v>
      </c>
      <c r="D2555" t="s">
        <v>180</v>
      </c>
      <c r="E2555">
        <v>98901</v>
      </c>
      <c r="F2555">
        <v>516.64499999999998</v>
      </c>
    </row>
    <row r="2556" spans="1:6" x14ac:dyDescent="0.25">
      <c r="A2556" t="s">
        <v>98</v>
      </c>
      <c r="B2556" s="6">
        <v>45513</v>
      </c>
      <c r="C2556" t="s">
        <v>201</v>
      </c>
      <c r="D2556" t="s">
        <v>180</v>
      </c>
      <c r="E2556">
        <v>99093</v>
      </c>
      <c r="F2556">
        <v>515.73130000000003</v>
      </c>
    </row>
    <row r="2557" spans="1:6" x14ac:dyDescent="0.25">
      <c r="A2557" t="s">
        <v>98</v>
      </c>
      <c r="B2557" s="6">
        <v>45513</v>
      </c>
      <c r="C2557" t="s">
        <v>201</v>
      </c>
      <c r="D2557" t="s">
        <v>180</v>
      </c>
      <c r="E2557">
        <v>99593</v>
      </c>
      <c r="F2557">
        <v>514.97260000000006</v>
      </c>
    </row>
    <row r="2558" spans="1:6" x14ac:dyDescent="0.25">
      <c r="A2558" t="s">
        <v>98</v>
      </c>
      <c r="B2558" s="6">
        <v>45513</v>
      </c>
      <c r="C2558" t="s">
        <v>201</v>
      </c>
      <c r="D2558" t="s">
        <v>180</v>
      </c>
      <c r="E2558">
        <v>101816</v>
      </c>
      <c r="F2558">
        <v>514.18439999999998</v>
      </c>
    </row>
    <row r="2559" spans="1:6" x14ac:dyDescent="0.25">
      <c r="A2559" t="s">
        <v>98</v>
      </c>
      <c r="B2559" s="6">
        <v>45513</v>
      </c>
      <c r="C2559" t="s">
        <v>201</v>
      </c>
      <c r="D2559" t="s">
        <v>180</v>
      </c>
      <c r="E2559">
        <v>102755</v>
      </c>
      <c r="F2559">
        <v>512.99310000000003</v>
      </c>
    </row>
    <row r="2560" spans="1:6" x14ac:dyDescent="0.25">
      <c r="B2560" s="6"/>
    </row>
    <row r="2561" spans="2:2" x14ac:dyDescent="0.25">
      <c r="B2561" s="6"/>
    </row>
    <row r="2562" spans="2:2" x14ac:dyDescent="0.25">
      <c r="B2562" s="6"/>
    </row>
    <row r="2563" spans="2:2" x14ac:dyDescent="0.25">
      <c r="B2563" s="6"/>
    </row>
    <row r="2564" spans="2:2" x14ac:dyDescent="0.25">
      <c r="B2564" s="6"/>
    </row>
    <row r="2565" spans="2:2" x14ac:dyDescent="0.25">
      <c r="B2565" s="6"/>
    </row>
    <row r="2566" spans="2:2" x14ac:dyDescent="0.25">
      <c r="B2566" s="6"/>
    </row>
    <row r="2567" spans="2:2" x14ac:dyDescent="0.25">
      <c r="B2567" s="6"/>
    </row>
    <row r="2568" spans="2:2" x14ac:dyDescent="0.25">
      <c r="B2568" s="6"/>
    </row>
    <row r="2569" spans="2:2" x14ac:dyDescent="0.25">
      <c r="B2569" s="6"/>
    </row>
    <row r="2570" spans="2:2" x14ac:dyDescent="0.25">
      <c r="B2570" s="6"/>
    </row>
    <row r="2571" spans="2:2" x14ac:dyDescent="0.25">
      <c r="B2571" s="6"/>
    </row>
    <row r="2572" spans="2:2" x14ac:dyDescent="0.25">
      <c r="B2572" s="6"/>
    </row>
    <row r="2573" spans="2:2" x14ac:dyDescent="0.25">
      <c r="B2573" s="6"/>
    </row>
    <row r="2574" spans="2:2" x14ac:dyDescent="0.25">
      <c r="B2574" s="6"/>
    </row>
    <row r="2575" spans="2:2" x14ac:dyDescent="0.25">
      <c r="B2575" s="6"/>
    </row>
    <row r="2576" spans="2:2" x14ac:dyDescent="0.25">
      <c r="B2576" s="6"/>
    </row>
    <row r="2577" spans="2:2" x14ac:dyDescent="0.25">
      <c r="B2577" s="6"/>
    </row>
    <row r="2578" spans="2:2" x14ac:dyDescent="0.25">
      <c r="B2578" s="6"/>
    </row>
    <row r="2579" spans="2:2" x14ac:dyDescent="0.25">
      <c r="B2579" s="6"/>
    </row>
    <row r="2580" spans="2:2" x14ac:dyDescent="0.25">
      <c r="B2580" s="6"/>
    </row>
    <row r="2581" spans="2:2" x14ac:dyDescent="0.25">
      <c r="B2581" s="6"/>
    </row>
    <row r="2582" spans="2:2" x14ac:dyDescent="0.25">
      <c r="B2582" s="6"/>
    </row>
    <row r="2583" spans="2:2" x14ac:dyDescent="0.25">
      <c r="B2583" s="6"/>
    </row>
    <row r="2584" spans="2:2" x14ac:dyDescent="0.25">
      <c r="B2584" s="6"/>
    </row>
    <row r="2585" spans="2:2" x14ac:dyDescent="0.25">
      <c r="B2585" s="6"/>
    </row>
    <row r="2586" spans="2:2" x14ac:dyDescent="0.25">
      <c r="B2586" s="6"/>
    </row>
    <row r="2587" spans="2:2" x14ac:dyDescent="0.25">
      <c r="B2587" s="6"/>
    </row>
    <row r="2588" spans="2:2" x14ac:dyDescent="0.25">
      <c r="B2588" s="6"/>
    </row>
    <row r="2589" spans="2:2" x14ac:dyDescent="0.25">
      <c r="B2589" s="6"/>
    </row>
    <row r="2590" spans="2:2" x14ac:dyDescent="0.25">
      <c r="B2590" s="6"/>
    </row>
    <row r="2591" spans="2:2" x14ac:dyDescent="0.25">
      <c r="B2591" s="6"/>
    </row>
    <row r="2592" spans="2:2" x14ac:dyDescent="0.25">
      <c r="B2592" s="6"/>
    </row>
    <row r="2593" spans="2:2" x14ac:dyDescent="0.25">
      <c r="B2593" s="6"/>
    </row>
    <row r="2594" spans="2:2" x14ac:dyDescent="0.25">
      <c r="B2594" s="6"/>
    </row>
    <row r="2595" spans="2:2" x14ac:dyDescent="0.25">
      <c r="B2595" s="6"/>
    </row>
    <row r="2596" spans="2:2" x14ac:dyDescent="0.25">
      <c r="B2596" s="6"/>
    </row>
    <row r="2597" spans="2:2" x14ac:dyDescent="0.25">
      <c r="B2597" s="6"/>
    </row>
    <row r="2598" spans="2:2" x14ac:dyDescent="0.25">
      <c r="B2598" s="6"/>
    </row>
    <row r="2599" spans="2:2" x14ac:dyDescent="0.25">
      <c r="B2599" s="6"/>
    </row>
    <row r="2600" spans="2:2" x14ac:dyDescent="0.25">
      <c r="B2600" s="6"/>
    </row>
    <row r="2601" spans="2:2" x14ac:dyDescent="0.25">
      <c r="B2601" s="6"/>
    </row>
    <row r="2602" spans="2:2" x14ac:dyDescent="0.25">
      <c r="B2602" s="6"/>
    </row>
    <row r="2603" spans="2:2" x14ac:dyDescent="0.25">
      <c r="B2603" s="6"/>
    </row>
    <row r="2604" spans="2:2" x14ac:dyDescent="0.25">
      <c r="B2604" s="6"/>
    </row>
    <row r="2605" spans="2:2" x14ac:dyDescent="0.25">
      <c r="B2605" s="6"/>
    </row>
    <row r="2606" spans="2:2" x14ac:dyDescent="0.25">
      <c r="B2606" s="6"/>
    </row>
    <row r="2607" spans="2:2" x14ac:dyDescent="0.25">
      <c r="B2607" s="6"/>
    </row>
    <row r="2608" spans="2:2" x14ac:dyDescent="0.25">
      <c r="B2608" s="6"/>
    </row>
    <row r="2609" spans="2:2" x14ac:dyDescent="0.25">
      <c r="B2609" s="6"/>
    </row>
    <row r="2610" spans="2:2" x14ac:dyDescent="0.25">
      <c r="B2610" s="6"/>
    </row>
    <row r="2611" spans="2:2" x14ac:dyDescent="0.25">
      <c r="B2611" s="6"/>
    </row>
    <row r="2612" spans="2:2" x14ac:dyDescent="0.25">
      <c r="B2612" s="6"/>
    </row>
    <row r="2613" spans="2:2" x14ac:dyDescent="0.25">
      <c r="B2613" s="6"/>
    </row>
    <row r="2614" spans="2:2" x14ac:dyDescent="0.25">
      <c r="B2614" s="6"/>
    </row>
    <row r="2615" spans="2:2" x14ac:dyDescent="0.25">
      <c r="B2615" s="6"/>
    </row>
    <row r="2616" spans="2:2" x14ac:dyDescent="0.25">
      <c r="B2616" s="6"/>
    </row>
    <row r="2617" spans="2:2" x14ac:dyDescent="0.25">
      <c r="B2617" s="6"/>
    </row>
    <row r="2618" spans="2:2" x14ac:dyDescent="0.25">
      <c r="B2618" s="6"/>
    </row>
    <row r="2619" spans="2:2" x14ac:dyDescent="0.25">
      <c r="B2619" s="6"/>
    </row>
    <row r="2620" spans="2:2" x14ac:dyDescent="0.25">
      <c r="B2620" s="6"/>
    </row>
    <row r="2621" spans="2:2" x14ac:dyDescent="0.25">
      <c r="B2621" s="6"/>
    </row>
    <row r="2622" spans="2:2" x14ac:dyDescent="0.25">
      <c r="B2622" s="6"/>
    </row>
    <row r="2623" spans="2:2" x14ac:dyDescent="0.25">
      <c r="B2623" s="6"/>
    </row>
    <row r="2624" spans="2:2" x14ac:dyDescent="0.25">
      <c r="B2624" s="6"/>
    </row>
    <row r="2625" spans="2:2" x14ac:dyDescent="0.25">
      <c r="B2625" s="6"/>
    </row>
    <row r="2626" spans="2:2" x14ac:dyDescent="0.25">
      <c r="B2626" s="6"/>
    </row>
    <row r="2627" spans="2:2" x14ac:dyDescent="0.25">
      <c r="B2627" s="6"/>
    </row>
    <row r="2628" spans="2:2" x14ac:dyDescent="0.25">
      <c r="B2628" s="6"/>
    </row>
    <row r="2629" spans="2:2" x14ac:dyDescent="0.25">
      <c r="B2629" s="6"/>
    </row>
    <row r="2630" spans="2:2" x14ac:dyDescent="0.25">
      <c r="B2630" s="6"/>
    </row>
    <row r="2631" spans="2:2" x14ac:dyDescent="0.25">
      <c r="B2631" s="6"/>
    </row>
    <row r="2632" spans="2:2" x14ac:dyDescent="0.25">
      <c r="B2632" s="6"/>
    </row>
    <row r="2633" spans="2:2" x14ac:dyDescent="0.25">
      <c r="B2633" s="6"/>
    </row>
    <row r="2634" spans="2:2" x14ac:dyDescent="0.25">
      <c r="B2634" s="6"/>
    </row>
    <row r="2635" spans="2:2" x14ac:dyDescent="0.25">
      <c r="B2635" s="6"/>
    </row>
    <row r="2636" spans="2:2" x14ac:dyDescent="0.25">
      <c r="B2636" s="6"/>
    </row>
    <row r="2637" spans="2:2" x14ac:dyDescent="0.25">
      <c r="B2637" s="6"/>
    </row>
    <row r="2638" spans="2:2" x14ac:dyDescent="0.25">
      <c r="B2638" s="6"/>
    </row>
    <row r="2639" spans="2:2" x14ac:dyDescent="0.25">
      <c r="B2639" s="6"/>
    </row>
    <row r="2640" spans="2:2" x14ac:dyDescent="0.25">
      <c r="B2640" s="6"/>
    </row>
    <row r="2641" spans="2:2" x14ac:dyDescent="0.25">
      <c r="B2641" s="6"/>
    </row>
    <row r="2642" spans="2:2" x14ac:dyDescent="0.25">
      <c r="B2642" s="6"/>
    </row>
    <row r="2643" spans="2:2" x14ac:dyDescent="0.25">
      <c r="B2643" s="6"/>
    </row>
    <row r="2644" spans="2:2" x14ac:dyDescent="0.25">
      <c r="B2644" s="6"/>
    </row>
    <row r="2645" spans="2:2" x14ac:dyDescent="0.25">
      <c r="B2645" s="6"/>
    </row>
    <row r="2646" spans="2:2" x14ac:dyDescent="0.25">
      <c r="B2646" s="6"/>
    </row>
    <row r="2647" spans="2:2" x14ac:dyDescent="0.25">
      <c r="B2647" s="6"/>
    </row>
    <row r="2648" spans="2:2" x14ac:dyDescent="0.25">
      <c r="B2648" s="6"/>
    </row>
    <row r="2649" spans="2:2" x14ac:dyDescent="0.25">
      <c r="B2649" s="6"/>
    </row>
    <row r="2650" spans="2:2" x14ac:dyDescent="0.25">
      <c r="B2650" s="6"/>
    </row>
    <row r="2651" spans="2:2" x14ac:dyDescent="0.25">
      <c r="B2651" s="6"/>
    </row>
    <row r="2652" spans="2:2" x14ac:dyDescent="0.25">
      <c r="B2652" s="6"/>
    </row>
    <row r="2653" spans="2:2" x14ac:dyDescent="0.25">
      <c r="B2653" s="6"/>
    </row>
    <row r="2654" spans="2:2" x14ac:dyDescent="0.25">
      <c r="B2654" s="6"/>
    </row>
    <row r="2655" spans="2:2" x14ac:dyDescent="0.25">
      <c r="B2655" s="6"/>
    </row>
    <row r="2656" spans="2:2" x14ac:dyDescent="0.25">
      <c r="B2656" s="6"/>
    </row>
    <row r="2657" spans="2:2" x14ac:dyDescent="0.25">
      <c r="B2657" s="6"/>
    </row>
    <row r="2658" spans="2:2" x14ac:dyDescent="0.25">
      <c r="B2658" s="6"/>
    </row>
    <row r="2659" spans="2:2" x14ac:dyDescent="0.25">
      <c r="B2659" s="6"/>
    </row>
    <row r="2660" spans="2:2" x14ac:dyDescent="0.25">
      <c r="B2660" s="6"/>
    </row>
    <row r="2661" spans="2:2" x14ac:dyDescent="0.25">
      <c r="B2661" s="6"/>
    </row>
    <row r="2662" spans="2:2" x14ac:dyDescent="0.25">
      <c r="B2662" s="6"/>
    </row>
    <row r="2663" spans="2:2" x14ac:dyDescent="0.25">
      <c r="B2663" s="6"/>
    </row>
    <row r="2664" spans="2:2" x14ac:dyDescent="0.25">
      <c r="B2664" s="6"/>
    </row>
    <row r="2665" spans="2:2" x14ac:dyDescent="0.25">
      <c r="B2665" s="6"/>
    </row>
    <row r="2666" spans="2:2" x14ac:dyDescent="0.25">
      <c r="B2666" s="6"/>
    </row>
    <row r="2667" spans="2:2" x14ac:dyDescent="0.25">
      <c r="B2667" s="6"/>
    </row>
    <row r="2668" spans="2:2" x14ac:dyDescent="0.25">
      <c r="B2668" s="6"/>
    </row>
    <row r="2669" spans="2:2" x14ac:dyDescent="0.25">
      <c r="B2669" s="6"/>
    </row>
    <row r="2670" spans="2:2" x14ac:dyDescent="0.25">
      <c r="B2670" s="6"/>
    </row>
    <row r="2671" spans="2:2" x14ac:dyDescent="0.25">
      <c r="B2671" s="6"/>
    </row>
    <row r="2672" spans="2:2" x14ac:dyDescent="0.25">
      <c r="B2672" s="6"/>
    </row>
    <row r="2673" spans="2:2" x14ac:dyDescent="0.25">
      <c r="B2673" s="6"/>
    </row>
    <row r="2674" spans="2:2" x14ac:dyDescent="0.25">
      <c r="B2674" s="6"/>
    </row>
    <row r="2675" spans="2:2" x14ac:dyDescent="0.25">
      <c r="B2675" s="6"/>
    </row>
    <row r="2676" spans="2:2" x14ac:dyDescent="0.25">
      <c r="B2676" s="6"/>
    </row>
    <row r="2677" spans="2:2" x14ac:dyDescent="0.25">
      <c r="B2677" s="6"/>
    </row>
    <row r="2678" spans="2:2" x14ac:dyDescent="0.25">
      <c r="B2678" s="6"/>
    </row>
    <row r="2679" spans="2:2" x14ac:dyDescent="0.25">
      <c r="B2679" s="6"/>
    </row>
    <row r="2680" spans="2:2" x14ac:dyDescent="0.25">
      <c r="B2680" s="6"/>
    </row>
    <row r="2681" spans="2:2" x14ac:dyDescent="0.25">
      <c r="B2681" s="6"/>
    </row>
    <row r="2682" spans="2:2" x14ac:dyDescent="0.25">
      <c r="B2682" s="6"/>
    </row>
    <row r="2683" spans="2:2" x14ac:dyDescent="0.25">
      <c r="B2683" s="6"/>
    </row>
    <row r="2684" spans="2:2" x14ac:dyDescent="0.25">
      <c r="B2684" s="6"/>
    </row>
    <row r="2685" spans="2:2" x14ac:dyDescent="0.25">
      <c r="B2685" s="6"/>
    </row>
    <row r="2686" spans="2:2" x14ac:dyDescent="0.25">
      <c r="B2686" s="6"/>
    </row>
    <row r="2687" spans="2:2" x14ac:dyDescent="0.25">
      <c r="B2687" s="6"/>
    </row>
    <row r="2688" spans="2:2" x14ac:dyDescent="0.25">
      <c r="B2688" s="6"/>
    </row>
    <row r="2689" spans="2:2" x14ac:dyDescent="0.25">
      <c r="B2689" s="6"/>
    </row>
    <row r="2690" spans="2:2" x14ac:dyDescent="0.25">
      <c r="B2690" s="6"/>
    </row>
    <row r="2691" spans="2:2" x14ac:dyDescent="0.25">
      <c r="B2691" s="6"/>
    </row>
    <row r="2692" spans="2:2" x14ac:dyDescent="0.25">
      <c r="B2692" s="6"/>
    </row>
    <row r="2693" spans="2:2" x14ac:dyDescent="0.25">
      <c r="B2693" s="6"/>
    </row>
    <row r="2694" spans="2:2" x14ac:dyDescent="0.25">
      <c r="B2694" s="6"/>
    </row>
    <row r="2695" spans="2:2" x14ac:dyDescent="0.25">
      <c r="B2695" s="6"/>
    </row>
    <row r="2696" spans="2:2" x14ac:dyDescent="0.25">
      <c r="B2696" s="6"/>
    </row>
    <row r="2697" spans="2:2" x14ac:dyDescent="0.25">
      <c r="B2697" s="6"/>
    </row>
    <row r="2698" spans="2:2" x14ac:dyDescent="0.25">
      <c r="B2698" s="6"/>
    </row>
    <row r="2699" spans="2:2" x14ac:dyDescent="0.25">
      <c r="B2699" s="6"/>
    </row>
    <row r="2700" spans="2:2" x14ac:dyDescent="0.25">
      <c r="B2700" s="6"/>
    </row>
    <row r="2701" spans="2:2" x14ac:dyDescent="0.25">
      <c r="B2701" s="6"/>
    </row>
    <row r="2702" spans="2:2" x14ac:dyDescent="0.25">
      <c r="B2702" s="6"/>
    </row>
    <row r="2703" spans="2:2" x14ac:dyDescent="0.25">
      <c r="B2703" s="6"/>
    </row>
    <row r="2704" spans="2:2" x14ac:dyDescent="0.25">
      <c r="B2704" s="6"/>
    </row>
    <row r="2705" spans="2:2" x14ac:dyDescent="0.25">
      <c r="B2705" s="6"/>
    </row>
    <row r="2706" spans="2:2" x14ac:dyDescent="0.25">
      <c r="B2706" s="6"/>
    </row>
    <row r="2707" spans="2:2" x14ac:dyDescent="0.25">
      <c r="B2707" s="6"/>
    </row>
    <row r="2708" spans="2:2" x14ac:dyDescent="0.25">
      <c r="B2708" s="6"/>
    </row>
    <row r="2709" spans="2:2" x14ac:dyDescent="0.25">
      <c r="B2709" s="6"/>
    </row>
    <row r="2710" spans="2:2" x14ac:dyDescent="0.25">
      <c r="B2710" s="6"/>
    </row>
    <row r="2711" spans="2:2" x14ac:dyDescent="0.25">
      <c r="B2711" s="6"/>
    </row>
    <row r="2712" spans="2:2" x14ac:dyDescent="0.25">
      <c r="B2712" s="6"/>
    </row>
    <row r="2713" spans="2:2" x14ac:dyDescent="0.25">
      <c r="B2713" s="6"/>
    </row>
    <row r="2714" spans="2:2" x14ac:dyDescent="0.25">
      <c r="B2714" s="6"/>
    </row>
    <row r="2715" spans="2:2" x14ac:dyDescent="0.25">
      <c r="B2715" s="6"/>
    </row>
    <row r="2716" spans="2:2" x14ac:dyDescent="0.25">
      <c r="B2716" s="6"/>
    </row>
    <row r="2717" spans="2:2" x14ac:dyDescent="0.25">
      <c r="B2717" s="6"/>
    </row>
    <row r="2718" spans="2:2" x14ac:dyDescent="0.25">
      <c r="B2718" s="6"/>
    </row>
    <row r="2719" spans="2:2" x14ac:dyDescent="0.25">
      <c r="B2719" s="6"/>
    </row>
    <row r="2720" spans="2:2" x14ac:dyDescent="0.25">
      <c r="B2720" s="6"/>
    </row>
    <row r="2721" spans="2:2" x14ac:dyDescent="0.25">
      <c r="B2721" s="6"/>
    </row>
    <row r="2722" spans="2:2" x14ac:dyDescent="0.25">
      <c r="B2722" s="6"/>
    </row>
    <row r="2723" spans="2:2" x14ac:dyDescent="0.25">
      <c r="B2723" s="6"/>
    </row>
    <row r="2724" spans="2:2" x14ac:dyDescent="0.25">
      <c r="B2724" s="6"/>
    </row>
    <row r="2725" spans="2:2" x14ac:dyDescent="0.25">
      <c r="B2725" s="6"/>
    </row>
    <row r="2726" spans="2:2" x14ac:dyDescent="0.25">
      <c r="B2726" s="6"/>
    </row>
    <row r="2727" spans="2:2" x14ac:dyDescent="0.25">
      <c r="B2727" s="6"/>
    </row>
    <row r="2728" spans="2:2" x14ac:dyDescent="0.25">
      <c r="B2728" s="6"/>
    </row>
    <row r="2729" spans="2:2" x14ac:dyDescent="0.25">
      <c r="B2729" s="6"/>
    </row>
    <row r="2730" spans="2:2" x14ac:dyDescent="0.25">
      <c r="B2730" s="6"/>
    </row>
    <row r="2731" spans="2:2" x14ac:dyDescent="0.25">
      <c r="B2731" s="6"/>
    </row>
    <row r="2732" spans="2:2" x14ac:dyDescent="0.25">
      <c r="B2732" s="6"/>
    </row>
    <row r="2733" spans="2:2" x14ac:dyDescent="0.25">
      <c r="B2733" s="6"/>
    </row>
    <row r="2734" spans="2:2" x14ac:dyDescent="0.25">
      <c r="B2734" s="6"/>
    </row>
    <row r="2735" spans="2:2" x14ac:dyDescent="0.25">
      <c r="B2735" s="6"/>
    </row>
    <row r="2736" spans="2:2" x14ac:dyDescent="0.25">
      <c r="B2736" s="6"/>
    </row>
    <row r="2737" spans="2:2" x14ac:dyDescent="0.25">
      <c r="B2737" s="6"/>
    </row>
    <row r="2738" spans="2:2" x14ac:dyDescent="0.25">
      <c r="B2738" s="6"/>
    </row>
    <row r="2739" spans="2:2" x14ac:dyDescent="0.25">
      <c r="B2739" s="6"/>
    </row>
    <row r="2740" spans="2:2" x14ac:dyDescent="0.25">
      <c r="B2740" s="6"/>
    </row>
    <row r="2741" spans="2:2" x14ac:dyDescent="0.25">
      <c r="B2741" s="6"/>
    </row>
    <row r="2742" spans="2:2" x14ac:dyDescent="0.25">
      <c r="B2742" s="6"/>
    </row>
    <row r="2743" spans="2:2" x14ac:dyDescent="0.25">
      <c r="B2743" s="6"/>
    </row>
    <row r="2744" spans="2:2" x14ac:dyDescent="0.25">
      <c r="B2744" s="6"/>
    </row>
    <row r="2745" spans="2:2" x14ac:dyDescent="0.25">
      <c r="B2745" s="6"/>
    </row>
    <row r="2746" spans="2:2" x14ac:dyDescent="0.25">
      <c r="B2746" s="6"/>
    </row>
    <row r="2747" spans="2:2" x14ac:dyDescent="0.25">
      <c r="B2747" s="6"/>
    </row>
    <row r="2748" spans="2:2" x14ac:dyDescent="0.25">
      <c r="B2748" s="6"/>
    </row>
    <row r="2749" spans="2:2" x14ac:dyDescent="0.25">
      <c r="B2749" s="6"/>
    </row>
    <row r="2750" spans="2:2" x14ac:dyDescent="0.25">
      <c r="B2750" s="6"/>
    </row>
    <row r="2751" spans="2:2" x14ac:dyDescent="0.25">
      <c r="B2751" s="6"/>
    </row>
    <row r="2752" spans="2:2" x14ac:dyDescent="0.25">
      <c r="B2752" s="6"/>
    </row>
    <row r="2753" spans="2:2" x14ac:dyDescent="0.25">
      <c r="B2753" s="6"/>
    </row>
    <row r="2754" spans="2:2" x14ac:dyDescent="0.25">
      <c r="B2754" s="6"/>
    </row>
    <row r="2755" spans="2:2" x14ac:dyDescent="0.25">
      <c r="B2755" s="6"/>
    </row>
    <row r="2756" spans="2:2" x14ac:dyDescent="0.25">
      <c r="B2756" s="6"/>
    </row>
    <row r="2757" spans="2:2" x14ac:dyDescent="0.25">
      <c r="B2757" s="6"/>
    </row>
    <row r="2758" spans="2:2" x14ac:dyDescent="0.25">
      <c r="B2758" s="6"/>
    </row>
    <row r="2759" spans="2:2" x14ac:dyDescent="0.25">
      <c r="B2759" s="6"/>
    </row>
    <row r="2760" spans="2:2" x14ac:dyDescent="0.25">
      <c r="B2760" s="6"/>
    </row>
    <row r="2761" spans="2:2" x14ac:dyDescent="0.25">
      <c r="B2761" s="6"/>
    </row>
    <row r="2762" spans="2:2" x14ac:dyDescent="0.25">
      <c r="B2762" s="6"/>
    </row>
    <row r="2763" spans="2:2" x14ac:dyDescent="0.25">
      <c r="B2763" s="6"/>
    </row>
    <row r="2764" spans="2:2" x14ac:dyDescent="0.25">
      <c r="B2764" s="6"/>
    </row>
    <row r="2765" spans="2:2" x14ac:dyDescent="0.25">
      <c r="B2765" s="6"/>
    </row>
    <row r="2766" spans="2:2" x14ac:dyDescent="0.25">
      <c r="B2766" s="6"/>
    </row>
    <row r="2767" spans="2:2" x14ac:dyDescent="0.25">
      <c r="B2767" s="6"/>
    </row>
    <row r="2768" spans="2:2" x14ac:dyDescent="0.25">
      <c r="B2768" s="6"/>
    </row>
    <row r="2769" spans="2:2" x14ac:dyDescent="0.25">
      <c r="B2769" s="6"/>
    </row>
    <row r="2770" spans="2:2" x14ac:dyDescent="0.25">
      <c r="B2770" s="6"/>
    </row>
    <row r="2771" spans="2:2" x14ac:dyDescent="0.25">
      <c r="B2771" s="6"/>
    </row>
    <row r="2772" spans="2:2" x14ac:dyDescent="0.25">
      <c r="B2772" s="6"/>
    </row>
    <row r="2773" spans="2:2" x14ac:dyDescent="0.25">
      <c r="B2773" s="6"/>
    </row>
    <row r="2774" spans="2:2" x14ac:dyDescent="0.25">
      <c r="B2774" s="6"/>
    </row>
    <row r="2775" spans="2:2" x14ac:dyDescent="0.25">
      <c r="B2775" s="6"/>
    </row>
    <row r="2776" spans="2:2" x14ac:dyDescent="0.25">
      <c r="B2776" s="6"/>
    </row>
    <row r="2777" spans="2:2" x14ac:dyDescent="0.25">
      <c r="B2777" s="6"/>
    </row>
    <row r="2778" spans="2:2" x14ac:dyDescent="0.25">
      <c r="B2778" s="6"/>
    </row>
    <row r="2779" spans="2:2" x14ac:dyDescent="0.25">
      <c r="B2779" s="6"/>
    </row>
    <row r="2780" spans="2:2" x14ac:dyDescent="0.25">
      <c r="B2780" s="6"/>
    </row>
    <row r="2781" spans="2:2" x14ac:dyDescent="0.25">
      <c r="B2781" s="6"/>
    </row>
    <row r="2782" spans="2:2" x14ac:dyDescent="0.25">
      <c r="B2782" s="6"/>
    </row>
    <row r="2783" spans="2:2" x14ac:dyDescent="0.25">
      <c r="B2783" s="6"/>
    </row>
    <row r="2784" spans="2:2" x14ac:dyDescent="0.25">
      <c r="B2784" s="6"/>
    </row>
    <row r="2785" spans="2:2" x14ac:dyDescent="0.25">
      <c r="B2785" s="6"/>
    </row>
    <row r="2786" spans="2:2" x14ac:dyDescent="0.25">
      <c r="B2786" s="6"/>
    </row>
    <row r="2787" spans="2:2" x14ac:dyDescent="0.25">
      <c r="B2787" s="6"/>
    </row>
    <row r="2788" spans="2:2" x14ac:dyDescent="0.25">
      <c r="B2788" s="6"/>
    </row>
    <row r="2789" spans="2:2" x14ac:dyDescent="0.25">
      <c r="B2789" s="6"/>
    </row>
    <row r="2790" spans="2:2" x14ac:dyDescent="0.25">
      <c r="B2790" s="6"/>
    </row>
    <row r="2791" spans="2:2" x14ac:dyDescent="0.25">
      <c r="B2791" s="6"/>
    </row>
    <row r="2792" spans="2:2" x14ac:dyDescent="0.25">
      <c r="B2792" s="6"/>
    </row>
    <row r="2793" spans="2:2" x14ac:dyDescent="0.25">
      <c r="B2793" s="6"/>
    </row>
    <row r="2794" spans="2:2" x14ac:dyDescent="0.25">
      <c r="B2794" s="6"/>
    </row>
    <row r="2795" spans="2:2" x14ac:dyDescent="0.25">
      <c r="B2795" s="6"/>
    </row>
    <row r="2796" spans="2:2" x14ac:dyDescent="0.25">
      <c r="B2796" s="6"/>
    </row>
    <row r="2797" spans="2:2" x14ac:dyDescent="0.25">
      <c r="B2797" s="6"/>
    </row>
    <row r="2798" spans="2:2" x14ac:dyDescent="0.25">
      <c r="B2798" s="6"/>
    </row>
    <row r="2799" spans="2:2" x14ac:dyDescent="0.25">
      <c r="B2799" s="6"/>
    </row>
    <row r="2800" spans="2:2" x14ac:dyDescent="0.25">
      <c r="B2800" s="6"/>
    </row>
    <row r="2801" spans="2:2" x14ac:dyDescent="0.25">
      <c r="B2801" s="6"/>
    </row>
    <row r="2802" spans="2:2" x14ac:dyDescent="0.25">
      <c r="B2802" s="6"/>
    </row>
    <row r="2803" spans="2:2" x14ac:dyDescent="0.25">
      <c r="B2803" s="6"/>
    </row>
    <row r="2804" spans="2:2" x14ac:dyDescent="0.25">
      <c r="B2804" s="6"/>
    </row>
    <row r="2805" spans="2:2" x14ac:dyDescent="0.25">
      <c r="B2805" s="6"/>
    </row>
    <row r="2806" spans="2:2" x14ac:dyDescent="0.25">
      <c r="B2806" s="6"/>
    </row>
    <row r="2807" spans="2:2" x14ac:dyDescent="0.25">
      <c r="B2807" s="6"/>
    </row>
    <row r="2808" spans="2:2" x14ac:dyDescent="0.25">
      <c r="B2808" s="6"/>
    </row>
    <row r="2809" spans="2:2" x14ac:dyDescent="0.25">
      <c r="B2809" s="6"/>
    </row>
    <row r="2810" spans="2:2" x14ac:dyDescent="0.25">
      <c r="B2810" s="6"/>
    </row>
    <row r="2811" spans="2:2" x14ac:dyDescent="0.25">
      <c r="B2811" s="6"/>
    </row>
    <row r="2812" spans="2:2" x14ac:dyDescent="0.25">
      <c r="B2812" s="6"/>
    </row>
    <row r="2813" spans="2:2" x14ac:dyDescent="0.25">
      <c r="B2813" s="6"/>
    </row>
    <row r="2814" spans="2:2" x14ac:dyDescent="0.25">
      <c r="B2814" s="6"/>
    </row>
    <row r="2815" spans="2:2" x14ac:dyDescent="0.25">
      <c r="B2815" s="6"/>
    </row>
    <row r="2816" spans="2:2" x14ac:dyDescent="0.25">
      <c r="B2816" s="6"/>
    </row>
    <row r="2817" spans="2:2" x14ac:dyDescent="0.25">
      <c r="B2817" s="6"/>
    </row>
    <row r="2818" spans="2:2" x14ac:dyDescent="0.25">
      <c r="B2818" s="6"/>
    </row>
    <row r="2819" spans="2:2" x14ac:dyDescent="0.25">
      <c r="B2819" s="6"/>
    </row>
    <row r="2820" spans="2:2" x14ac:dyDescent="0.25">
      <c r="B2820" s="6"/>
    </row>
    <row r="2821" spans="2:2" x14ac:dyDescent="0.25">
      <c r="B2821" s="6"/>
    </row>
    <row r="2822" spans="2:2" x14ac:dyDescent="0.25">
      <c r="B2822" s="6"/>
    </row>
    <row r="2823" spans="2:2" x14ac:dyDescent="0.25">
      <c r="B2823" s="6"/>
    </row>
    <row r="2824" spans="2:2" x14ac:dyDescent="0.25">
      <c r="B2824" s="6"/>
    </row>
    <row r="2825" spans="2:2" x14ac:dyDescent="0.25">
      <c r="B2825" s="6"/>
    </row>
    <row r="2826" spans="2:2" x14ac:dyDescent="0.25">
      <c r="B2826" s="6"/>
    </row>
    <row r="2827" spans="2:2" x14ac:dyDescent="0.25">
      <c r="B2827" s="6"/>
    </row>
    <row r="2828" spans="2:2" x14ac:dyDescent="0.25">
      <c r="B2828" s="6"/>
    </row>
    <row r="2829" spans="2:2" x14ac:dyDescent="0.25">
      <c r="B2829" s="6"/>
    </row>
    <row r="2830" spans="2:2" x14ac:dyDescent="0.25">
      <c r="B2830" s="6"/>
    </row>
    <row r="2831" spans="2:2" x14ac:dyDescent="0.25">
      <c r="B2831" s="6"/>
    </row>
    <row r="2832" spans="2:2" x14ac:dyDescent="0.25">
      <c r="B2832" s="6"/>
    </row>
    <row r="2833" spans="2:2" x14ac:dyDescent="0.25">
      <c r="B2833" s="6"/>
    </row>
    <row r="2834" spans="2:2" x14ac:dyDescent="0.25">
      <c r="B2834" s="6"/>
    </row>
    <row r="2835" spans="2:2" x14ac:dyDescent="0.25">
      <c r="B2835" s="6"/>
    </row>
    <row r="2836" spans="2:2" x14ac:dyDescent="0.25">
      <c r="B2836" s="6"/>
    </row>
    <row r="2837" spans="2:2" x14ac:dyDescent="0.25">
      <c r="B2837" s="6"/>
    </row>
    <row r="2838" spans="2:2" x14ac:dyDescent="0.25">
      <c r="B2838" s="6"/>
    </row>
    <row r="2839" spans="2:2" x14ac:dyDescent="0.25">
      <c r="B2839" s="6"/>
    </row>
    <row r="2840" spans="2:2" x14ac:dyDescent="0.25">
      <c r="B2840" s="6"/>
    </row>
    <row r="2841" spans="2:2" x14ac:dyDescent="0.25">
      <c r="B2841" s="6"/>
    </row>
    <row r="2842" spans="2:2" x14ac:dyDescent="0.25">
      <c r="B2842" s="6"/>
    </row>
    <row r="2843" spans="2:2" x14ac:dyDescent="0.25">
      <c r="B2843" s="6"/>
    </row>
    <row r="2844" spans="2:2" x14ac:dyDescent="0.25">
      <c r="B2844" s="6"/>
    </row>
    <row r="2845" spans="2:2" x14ac:dyDescent="0.25">
      <c r="B2845" s="6"/>
    </row>
    <row r="2846" spans="2:2" x14ac:dyDescent="0.25">
      <c r="B2846" s="6"/>
    </row>
    <row r="2847" spans="2:2" x14ac:dyDescent="0.25">
      <c r="B2847" s="6"/>
    </row>
    <row r="2848" spans="2:2" x14ac:dyDescent="0.25">
      <c r="B2848" s="6"/>
    </row>
    <row r="2849" spans="2:2" x14ac:dyDescent="0.25">
      <c r="B2849" s="6"/>
    </row>
    <row r="2850" spans="2:2" x14ac:dyDescent="0.25">
      <c r="B2850" s="6"/>
    </row>
    <row r="2851" spans="2:2" x14ac:dyDescent="0.25">
      <c r="B2851" s="6"/>
    </row>
    <row r="2852" spans="2:2" x14ac:dyDescent="0.25">
      <c r="B2852" s="6"/>
    </row>
    <row r="2853" spans="2:2" x14ac:dyDescent="0.25">
      <c r="B2853" s="6"/>
    </row>
    <row r="2854" spans="2:2" x14ac:dyDescent="0.25">
      <c r="B2854" s="6"/>
    </row>
    <row r="2855" spans="2:2" x14ac:dyDescent="0.25">
      <c r="B2855" s="6"/>
    </row>
    <row r="2856" spans="2:2" x14ac:dyDescent="0.25">
      <c r="B2856" s="6"/>
    </row>
    <row r="2857" spans="2:2" x14ac:dyDescent="0.25">
      <c r="B2857" s="6"/>
    </row>
    <row r="2858" spans="2:2" x14ac:dyDescent="0.25">
      <c r="B2858" s="6"/>
    </row>
    <row r="2859" spans="2:2" x14ac:dyDescent="0.25">
      <c r="B2859" s="6"/>
    </row>
    <row r="2860" spans="2:2" x14ac:dyDescent="0.25">
      <c r="B2860" s="6"/>
    </row>
    <row r="2861" spans="2:2" x14ac:dyDescent="0.25">
      <c r="B2861" s="6"/>
    </row>
    <row r="2862" spans="2:2" x14ac:dyDescent="0.25">
      <c r="B2862" s="6"/>
    </row>
    <row r="2863" spans="2:2" x14ac:dyDescent="0.25">
      <c r="B2863" s="6"/>
    </row>
    <row r="2864" spans="2:2" x14ac:dyDescent="0.25">
      <c r="B2864" s="6"/>
    </row>
    <row r="2865" spans="2:2" x14ac:dyDescent="0.25">
      <c r="B2865" s="6"/>
    </row>
    <row r="2866" spans="2:2" x14ac:dyDescent="0.25">
      <c r="B2866" s="6"/>
    </row>
    <row r="2867" spans="2:2" x14ac:dyDescent="0.25">
      <c r="B2867" s="6"/>
    </row>
    <row r="2868" spans="2:2" x14ac:dyDescent="0.25">
      <c r="B2868" s="6"/>
    </row>
    <row r="2869" spans="2:2" x14ac:dyDescent="0.25">
      <c r="B2869" s="6"/>
    </row>
    <row r="2870" spans="2:2" x14ac:dyDescent="0.25">
      <c r="B2870" s="6"/>
    </row>
    <row r="2871" spans="2:2" x14ac:dyDescent="0.25">
      <c r="B2871" s="6"/>
    </row>
    <row r="2872" spans="2:2" x14ac:dyDescent="0.25">
      <c r="B2872" s="6"/>
    </row>
    <row r="2873" spans="2:2" x14ac:dyDescent="0.25">
      <c r="B2873" s="6"/>
    </row>
    <row r="2874" spans="2:2" x14ac:dyDescent="0.25">
      <c r="B2874" s="6"/>
    </row>
    <row r="2875" spans="2:2" x14ac:dyDescent="0.25">
      <c r="B2875" s="6"/>
    </row>
    <row r="2876" spans="2:2" x14ac:dyDescent="0.25">
      <c r="B2876" s="6"/>
    </row>
    <row r="2877" spans="2:2" x14ac:dyDescent="0.25">
      <c r="B2877" s="6"/>
    </row>
    <row r="2878" spans="2:2" x14ac:dyDescent="0.25">
      <c r="B2878" s="6"/>
    </row>
    <row r="2879" spans="2:2" x14ac:dyDescent="0.25">
      <c r="B2879" s="6"/>
    </row>
    <row r="2880" spans="2:2" x14ac:dyDescent="0.25">
      <c r="B2880" s="6"/>
    </row>
    <row r="2881" spans="2:2" x14ac:dyDescent="0.25">
      <c r="B2881" s="6"/>
    </row>
    <row r="2882" spans="2:2" x14ac:dyDescent="0.25">
      <c r="B2882" s="6"/>
    </row>
    <row r="2883" spans="2:2" x14ac:dyDescent="0.25">
      <c r="B2883" s="6"/>
    </row>
    <row r="2884" spans="2:2" x14ac:dyDescent="0.25">
      <c r="B2884" s="6"/>
    </row>
    <row r="2885" spans="2:2" x14ac:dyDescent="0.25">
      <c r="B2885" s="6"/>
    </row>
    <row r="2886" spans="2:2" x14ac:dyDescent="0.25">
      <c r="B2886" s="6"/>
    </row>
    <row r="2887" spans="2:2" x14ac:dyDescent="0.25">
      <c r="B2887" s="6"/>
    </row>
    <row r="2888" spans="2:2" x14ac:dyDescent="0.25">
      <c r="B2888" s="6"/>
    </row>
    <row r="2889" spans="2:2" x14ac:dyDescent="0.25">
      <c r="B2889" s="6"/>
    </row>
    <row r="2890" spans="2:2" x14ac:dyDescent="0.25">
      <c r="B2890" s="6"/>
    </row>
    <row r="2891" spans="2:2" x14ac:dyDescent="0.25">
      <c r="B2891" s="6"/>
    </row>
    <row r="2892" spans="2:2" x14ac:dyDescent="0.25">
      <c r="B2892" s="6"/>
    </row>
    <row r="2893" spans="2:2" x14ac:dyDescent="0.25">
      <c r="B2893" s="6"/>
    </row>
    <row r="2894" spans="2:2" x14ac:dyDescent="0.25">
      <c r="B2894" s="6"/>
    </row>
    <row r="2895" spans="2:2" x14ac:dyDescent="0.25">
      <c r="B2895" s="6"/>
    </row>
    <row r="2896" spans="2:2" x14ac:dyDescent="0.25">
      <c r="B2896" s="6"/>
    </row>
    <row r="2897" spans="2:2" x14ac:dyDescent="0.25">
      <c r="B2897" s="6"/>
    </row>
    <row r="2898" spans="2:2" x14ac:dyDescent="0.25">
      <c r="B2898" s="6"/>
    </row>
    <row r="2899" spans="2:2" x14ac:dyDescent="0.25">
      <c r="B2899" s="6"/>
    </row>
    <row r="2900" spans="2:2" x14ac:dyDescent="0.25">
      <c r="B2900" s="6"/>
    </row>
    <row r="2901" spans="2:2" x14ac:dyDescent="0.25">
      <c r="B2901" s="6"/>
    </row>
    <row r="2902" spans="2:2" x14ac:dyDescent="0.25">
      <c r="B2902" s="6"/>
    </row>
    <row r="2903" spans="2:2" x14ac:dyDescent="0.25">
      <c r="B2903" s="6"/>
    </row>
    <row r="2904" spans="2:2" x14ac:dyDescent="0.25">
      <c r="B2904" s="6"/>
    </row>
    <row r="2905" spans="2:2" x14ac:dyDescent="0.25">
      <c r="B2905" s="6"/>
    </row>
    <row r="2906" spans="2:2" x14ac:dyDescent="0.25">
      <c r="B2906" s="6"/>
    </row>
    <row r="2907" spans="2:2" x14ac:dyDescent="0.25">
      <c r="B2907" s="6"/>
    </row>
    <row r="2908" spans="2:2" x14ac:dyDescent="0.25">
      <c r="B2908" s="6"/>
    </row>
    <row r="2909" spans="2:2" x14ac:dyDescent="0.25">
      <c r="B2909" s="6"/>
    </row>
    <row r="2910" spans="2:2" x14ac:dyDescent="0.25">
      <c r="B2910" s="6"/>
    </row>
    <row r="2911" spans="2:2" x14ac:dyDescent="0.25">
      <c r="B2911" s="6"/>
    </row>
    <row r="2912" spans="2:2" x14ac:dyDescent="0.25">
      <c r="B2912" s="6"/>
    </row>
    <row r="2913" spans="2:2" x14ac:dyDescent="0.25">
      <c r="B2913" s="6"/>
    </row>
    <row r="2914" spans="2:2" x14ac:dyDescent="0.25">
      <c r="B2914" s="6"/>
    </row>
    <row r="2915" spans="2:2" x14ac:dyDescent="0.25">
      <c r="B2915" s="6"/>
    </row>
    <row r="2916" spans="2:2" x14ac:dyDescent="0.25">
      <c r="B2916" s="6"/>
    </row>
    <row r="2917" spans="2:2" x14ac:dyDescent="0.25">
      <c r="B2917" s="6"/>
    </row>
    <row r="2918" spans="2:2" x14ac:dyDescent="0.25">
      <c r="B2918" s="6"/>
    </row>
    <row r="2919" spans="2:2" x14ac:dyDescent="0.25">
      <c r="B2919" s="6"/>
    </row>
    <row r="2920" spans="2:2" x14ac:dyDescent="0.25">
      <c r="B2920" s="6"/>
    </row>
    <row r="2921" spans="2:2" x14ac:dyDescent="0.25">
      <c r="B2921" s="6"/>
    </row>
    <row r="2922" spans="2:2" x14ac:dyDescent="0.25">
      <c r="B2922" s="6"/>
    </row>
    <row r="2923" spans="2:2" x14ac:dyDescent="0.25">
      <c r="B2923" s="6"/>
    </row>
    <row r="2924" spans="2:2" x14ac:dyDescent="0.25">
      <c r="B2924" s="6"/>
    </row>
    <row r="2925" spans="2:2" x14ac:dyDescent="0.25">
      <c r="B2925" s="6"/>
    </row>
    <row r="2926" spans="2:2" x14ac:dyDescent="0.25">
      <c r="B2926" s="6"/>
    </row>
    <row r="2927" spans="2:2" x14ac:dyDescent="0.25">
      <c r="B2927" s="6"/>
    </row>
    <row r="2928" spans="2:2" x14ac:dyDescent="0.25">
      <c r="B2928" s="6"/>
    </row>
    <row r="2929" spans="2:2" x14ac:dyDescent="0.25">
      <c r="B2929" s="6"/>
    </row>
    <row r="2930" spans="2:2" x14ac:dyDescent="0.25">
      <c r="B2930" s="6"/>
    </row>
    <row r="2931" spans="2:2" x14ac:dyDescent="0.25">
      <c r="B2931" s="6"/>
    </row>
    <row r="2932" spans="2:2" x14ac:dyDescent="0.25">
      <c r="B2932" s="6"/>
    </row>
    <row r="2933" spans="2:2" x14ac:dyDescent="0.25">
      <c r="B2933" s="6"/>
    </row>
    <row r="2934" spans="2:2" x14ac:dyDescent="0.25">
      <c r="B2934" s="6"/>
    </row>
    <row r="2935" spans="2:2" x14ac:dyDescent="0.25">
      <c r="B2935" s="6"/>
    </row>
    <row r="2936" spans="2:2" x14ac:dyDescent="0.25">
      <c r="B2936" s="6"/>
    </row>
    <row r="2937" spans="2:2" x14ac:dyDescent="0.25">
      <c r="B2937" s="6"/>
    </row>
    <row r="2938" spans="2:2" x14ac:dyDescent="0.25">
      <c r="B2938" s="6"/>
    </row>
    <row r="2939" spans="2:2" x14ac:dyDescent="0.25">
      <c r="B2939" s="6"/>
    </row>
    <row r="2940" spans="2:2" x14ac:dyDescent="0.25">
      <c r="B2940" s="6"/>
    </row>
    <row r="2941" spans="2:2" x14ac:dyDescent="0.25">
      <c r="B2941" s="6"/>
    </row>
    <row r="2942" spans="2:2" x14ac:dyDescent="0.25">
      <c r="B2942" s="6"/>
    </row>
    <row r="2943" spans="2:2" x14ac:dyDescent="0.25">
      <c r="B2943" s="6"/>
    </row>
    <row r="2944" spans="2:2" x14ac:dyDescent="0.25">
      <c r="B2944" s="6"/>
    </row>
    <row r="2945" spans="2:2" x14ac:dyDescent="0.25">
      <c r="B2945" s="6"/>
    </row>
    <row r="2946" spans="2:2" x14ac:dyDescent="0.25">
      <c r="B2946" s="6"/>
    </row>
    <row r="2947" spans="2:2" x14ac:dyDescent="0.25">
      <c r="B2947" s="6"/>
    </row>
    <row r="2948" spans="2:2" x14ac:dyDescent="0.25">
      <c r="B2948" s="6"/>
    </row>
    <row r="2949" spans="2:2" x14ac:dyDescent="0.25">
      <c r="B2949" s="6"/>
    </row>
    <row r="2950" spans="2:2" x14ac:dyDescent="0.25">
      <c r="B2950" s="6"/>
    </row>
    <row r="2951" spans="2:2" x14ac:dyDescent="0.25">
      <c r="B2951" s="6"/>
    </row>
    <row r="2952" spans="2:2" x14ac:dyDescent="0.25">
      <c r="B2952" s="6"/>
    </row>
    <row r="2953" spans="2:2" x14ac:dyDescent="0.25">
      <c r="B2953" s="6"/>
    </row>
    <row r="2954" spans="2:2" x14ac:dyDescent="0.25">
      <c r="B2954" s="6"/>
    </row>
    <row r="2955" spans="2:2" x14ac:dyDescent="0.25">
      <c r="B2955" s="6"/>
    </row>
    <row r="2956" spans="2:2" x14ac:dyDescent="0.25">
      <c r="B2956" s="6"/>
    </row>
    <row r="2957" spans="2:2" x14ac:dyDescent="0.25">
      <c r="B2957" s="6"/>
    </row>
    <row r="2958" spans="2:2" x14ac:dyDescent="0.25">
      <c r="B2958" s="6"/>
    </row>
    <row r="2959" spans="2:2" x14ac:dyDescent="0.25">
      <c r="B2959" s="6"/>
    </row>
    <row r="2960" spans="2:2" x14ac:dyDescent="0.25">
      <c r="B2960" s="6"/>
    </row>
    <row r="2961" spans="2:2" x14ac:dyDescent="0.25">
      <c r="B2961" s="6"/>
    </row>
    <row r="2962" spans="2:2" x14ac:dyDescent="0.25">
      <c r="B2962" s="6"/>
    </row>
    <row r="2963" spans="2:2" x14ac:dyDescent="0.25">
      <c r="B2963" s="6"/>
    </row>
    <row r="2964" spans="2:2" x14ac:dyDescent="0.25">
      <c r="B2964" s="6"/>
    </row>
    <row r="2965" spans="2:2" x14ac:dyDescent="0.25">
      <c r="B2965" s="6"/>
    </row>
    <row r="2966" spans="2:2" x14ac:dyDescent="0.25">
      <c r="B2966" s="6"/>
    </row>
    <row r="2967" spans="2:2" x14ac:dyDescent="0.25">
      <c r="B2967" s="6"/>
    </row>
    <row r="2968" spans="2:2" x14ac:dyDescent="0.25">
      <c r="B2968" s="6"/>
    </row>
    <row r="2969" spans="2:2" x14ac:dyDescent="0.25">
      <c r="B2969" s="6"/>
    </row>
    <row r="2970" spans="2:2" x14ac:dyDescent="0.25">
      <c r="B2970" s="6"/>
    </row>
    <row r="2971" spans="2:2" x14ac:dyDescent="0.25">
      <c r="B2971" s="6"/>
    </row>
    <row r="2972" spans="2:2" x14ac:dyDescent="0.25">
      <c r="B2972" s="6"/>
    </row>
    <row r="2973" spans="2:2" x14ac:dyDescent="0.25">
      <c r="B2973" s="6"/>
    </row>
    <row r="2974" spans="2:2" x14ac:dyDescent="0.25">
      <c r="B2974" s="6"/>
    </row>
    <row r="2975" spans="2:2" x14ac:dyDescent="0.25">
      <c r="B2975" s="6"/>
    </row>
    <row r="2976" spans="2:2" x14ac:dyDescent="0.25">
      <c r="B2976" s="6"/>
    </row>
    <row r="2977" spans="2:2" x14ac:dyDescent="0.25">
      <c r="B2977" s="6"/>
    </row>
  </sheetData>
  <autoFilter ref="A1:F1" xr:uid="{8DCEB4C4-86FB-4166-B114-65F1D64AD075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A59D9-C321-4E84-9C38-5A6F242DB3D5}">
  <sheetPr codeName="Sheet5"/>
  <dimension ref="A1:C21"/>
  <sheetViews>
    <sheetView workbookViewId="0">
      <selection activeCell="B24" sqref="B24"/>
    </sheetView>
  </sheetViews>
  <sheetFormatPr defaultRowHeight="15" x14ac:dyDescent="0.25"/>
  <cols>
    <col min="1" max="1" width="36.5703125" bestFit="1" customWidth="1"/>
    <col min="2" max="2" width="42.85546875" customWidth="1"/>
  </cols>
  <sheetData>
    <row r="1" spans="1:3" x14ac:dyDescent="0.25">
      <c r="A1" t="s">
        <v>28</v>
      </c>
      <c r="B1" s="2" t="s">
        <v>8</v>
      </c>
    </row>
    <row r="2" spans="1:3" x14ac:dyDescent="0.25">
      <c r="A2" t="s">
        <v>29</v>
      </c>
      <c r="B2" s="2" t="s">
        <v>9</v>
      </c>
    </row>
    <row r="3" spans="1:3" x14ac:dyDescent="0.25">
      <c r="A3" t="s">
        <v>30</v>
      </c>
      <c r="B3" s="2" t="s">
        <v>10</v>
      </c>
    </row>
    <row r="4" spans="1:3" x14ac:dyDescent="0.25">
      <c r="A4" s="2"/>
      <c r="B4" s="2"/>
    </row>
    <row r="5" spans="1:3" x14ac:dyDescent="0.25">
      <c r="A5" s="2"/>
      <c r="B5" s="2"/>
    </row>
    <row r="6" spans="1:3" x14ac:dyDescent="0.25">
      <c r="A6" s="4" t="s">
        <v>11</v>
      </c>
    </row>
    <row r="7" spans="1:3" x14ac:dyDescent="0.25">
      <c r="A7" s="4" t="s">
        <v>12</v>
      </c>
    </row>
    <row r="8" spans="1:3" x14ac:dyDescent="0.25">
      <c r="A8" s="4" t="s">
        <v>13</v>
      </c>
    </row>
    <row r="12" spans="1:3" x14ac:dyDescent="0.25">
      <c r="A12" t="s">
        <v>76</v>
      </c>
    </row>
    <row r="13" spans="1:3" x14ac:dyDescent="0.25">
      <c r="A13" t="s">
        <v>77</v>
      </c>
      <c r="B13" t="s">
        <v>78</v>
      </c>
      <c r="C13" t="s">
        <v>79</v>
      </c>
    </row>
    <row r="14" spans="1:3" x14ac:dyDescent="0.25">
      <c r="A14" t="s">
        <v>80</v>
      </c>
      <c r="B14" t="s">
        <v>81</v>
      </c>
      <c r="C14" t="s">
        <v>82</v>
      </c>
    </row>
    <row r="15" spans="1:3" x14ac:dyDescent="0.25">
      <c r="A15" t="s">
        <v>75</v>
      </c>
      <c r="B15" t="s">
        <v>83</v>
      </c>
      <c r="C15" t="s">
        <v>95</v>
      </c>
    </row>
    <row r="16" spans="1:3" x14ac:dyDescent="0.25">
      <c r="A16" t="s">
        <v>94</v>
      </c>
      <c r="B16" t="s">
        <v>84</v>
      </c>
      <c r="C16" t="s">
        <v>96</v>
      </c>
    </row>
    <row r="17" spans="1:3" x14ac:dyDescent="0.25">
      <c r="A17" t="s">
        <v>8</v>
      </c>
      <c r="B17" t="s">
        <v>85</v>
      </c>
      <c r="C17" t="s">
        <v>97</v>
      </c>
    </row>
    <row r="18" spans="1:3" x14ac:dyDescent="0.25">
      <c r="A18" t="s">
        <v>10</v>
      </c>
      <c r="B18" t="s">
        <v>86</v>
      </c>
      <c r="C18" t="s">
        <v>87</v>
      </c>
    </row>
    <row r="19" spans="1:3" x14ac:dyDescent="0.25">
      <c r="A19" t="s">
        <v>73</v>
      </c>
      <c r="B19" t="s">
        <v>88</v>
      </c>
      <c r="C19" t="s">
        <v>89</v>
      </c>
    </row>
    <row r="20" spans="1:3" x14ac:dyDescent="0.25">
      <c r="A20" t="s">
        <v>74</v>
      </c>
      <c r="B20" t="s">
        <v>90</v>
      </c>
      <c r="C20" t="s">
        <v>91</v>
      </c>
    </row>
    <row r="21" spans="1:3" x14ac:dyDescent="0.25">
      <c r="A21" t="s">
        <v>22</v>
      </c>
      <c r="B21" t="s">
        <v>92</v>
      </c>
      <c r="C21" t="s">
        <v>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watchlist</vt:lpstr>
      <vt:lpstr>Watchlist check</vt:lpstr>
      <vt:lpstr>Sheet1</vt:lpstr>
      <vt:lpstr>Pypath</vt:lpstr>
      <vt:lpstr>News</vt:lpstr>
      <vt:lpstr>Insider trade</vt:lpstr>
      <vt:lpstr>Dropdown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Charlotte Bui</cp:lastModifiedBy>
  <dcterms:created xsi:type="dcterms:W3CDTF">2025-03-22T07:22:26Z</dcterms:created>
  <dcterms:modified xsi:type="dcterms:W3CDTF">2025-03-31T08:10:07Z</dcterms:modified>
</cp:coreProperties>
</file>